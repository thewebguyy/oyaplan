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vg" ContentType="image/svg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drawings/drawing2.xml" ContentType="application/vnd.openxmlformats-officedocument.drawing+xml"/>
  <Override PartName="/xl/tables/table2.xml" ContentType="application/vnd.openxmlformats-officedocument.spreadsheetml.table+xml"/>
  <Override PartName="/xl/drawings/drawing3.xml" ContentType="application/vnd.openxmlformats-officedocument.drawing+xml"/>
  <Override PartName="/xl/tables/table3.xml" ContentType="application/vnd.openxmlformats-officedocument.spreadsheetml.table+xml"/>
  <Override PartName="/xl/drawings/drawing4.xml" ContentType="application/vnd.openxmlformats-officedocument.drawing+xml"/>
  <Override PartName="/xl/tables/table4.xml" ContentType="application/vnd.openxmlformats-officedocument.spreadsheetml.table+xml"/>
  <Override PartName="/xl/drawings/drawing5.xml" ContentType="application/vnd.openxmlformats-officedocument.drawing+xml"/>
  <Override PartName="/xl/tables/table5.xml" ContentType="application/vnd.openxmlformats-officedocument.spreadsheetml.table+xml"/>
  <Override PartName="/xl/drawings/drawing6.xml" ContentType="application/vnd.openxmlformats-officedocument.drawing+xml"/>
  <Override PartName="/xl/tables/table6.xml" ContentType="application/vnd.openxmlformats-officedocument.spreadsheetml.table+xml"/>
  <Override PartName="/xl/drawings/drawing7.xml" ContentType="application/vnd.openxmlformats-officedocument.drawing+xml"/>
  <Override PartName="/xl/tables/table7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60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emitope Ojo\Downloads\"/>
    </mc:Choice>
  </mc:AlternateContent>
  <xr:revisionPtr revIDLastSave="0" documentId="13_ncr:1_{D62F9AC7-72D6-4117-8D81-4FAAE06CA176}" xr6:coauthVersionLast="47" xr6:coauthVersionMax="47" xr10:uidLastSave="{00000000-0000-0000-0000-000000000000}"/>
  <bookViews>
    <workbookView xWindow="-120" yWindow="-120" windowWidth="20730" windowHeight="11040" xr2:uid="{4777EC20-A396-4B54-BDFD-AC0F100311CB}"/>
  </bookViews>
  <sheets>
    <sheet name="Ikeja" sheetId="1" r:id="rId1"/>
    <sheet name="VictoriaIsland" sheetId="6" r:id="rId2"/>
    <sheet name="Surulere" sheetId="4" r:id="rId3"/>
    <sheet name="Ikoyi" sheetId="2" r:id="rId4"/>
    <sheet name="Yaba" sheetId="7" r:id="rId5"/>
    <sheet name="LekkiPhase1" sheetId="8" r:id="rId6"/>
    <sheet name="MagodeKetuOgudu" sheetId="9" r:id="rId7"/>
  </sheets>
  <externalReferences>
    <externalReference r:id="rId8"/>
    <externalReference r:id="rId9"/>
    <externalReference r:id="rId10"/>
  </externalReferences>
  <definedNames>
    <definedName name="CompanyName" localSheetId="0">Ikeja!$B$2</definedName>
    <definedName name="CompanyName" localSheetId="3">Ikoyi!$B$2</definedName>
    <definedName name="CompanyName" localSheetId="5">LekkiPhase1!$B$2</definedName>
    <definedName name="CompanyName" localSheetId="6">MagodeKetuOgudu!$B$2</definedName>
    <definedName name="CompanyName" localSheetId="2">Surulere!$B$2</definedName>
    <definedName name="CompanyName" localSheetId="1">VictoriaIsland!$B$2</definedName>
    <definedName name="CompanyName" localSheetId="4">Yaba!$B$2</definedName>
    <definedName name="List_SalesAgents">#REF!</definedName>
    <definedName name="List_SalesCategories">#REF!</definedName>
    <definedName name="List_SalesPhases">#REF!</definedName>
    <definedName name="List_SalesRegions">#REF!</definedName>
    <definedName name="Starting_Month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15" i="2" l="1"/>
  <c r="G16" i="2"/>
  <c r="G17" i="2"/>
  <c r="G18" i="2"/>
  <c r="G19" i="2"/>
  <c r="G20" i="2"/>
  <c r="G21" i="2"/>
  <c r="G22" i="2"/>
  <c r="G23" i="2"/>
  <c r="G24" i="2"/>
  <c r="G25" i="2"/>
  <c r="G26" i="2"/>
  <c r="G27" i="2"/>
  <c r="G28" i="2"/>
  <c r="G29" i="2"/>
  <c r="G30" i="2"/>
  <c r="G31" i="2"/>
  <c r="G32" i="2"/>
  <c r="G33" i="2"/>
  <c r="G34" i="2"/>
  <c r="G35" i="2"/>
  <c r="G8" i="4"/>
  <c r="G11" i="4"/>
  <c r="G12" i="4"/>
  <c r="G13" i="4"/>
  <c r="G14" i="4"/>
  <c r="G15" i="4"/>
  <c r="G16" i="4"/>
  <c r="G17" i="4"/>
  <c r="G18" i="4"/>
  <c r="G19" i="4"/>
  <c r="G20" i="4"/>
  <c r="G21" i="4"/>
  <c r="G23" i="4"/>
  <c r="G24" i="4"/>
  <c r="G25" i="4"/>
  <c r="G28" i="4"/>
  <c r="G29" i="4"/>
  <c r="G33" i="4"/>
  <c r="G34" i="4"/>
  <c r="G35" i="4"/>
  <c r="G36" i="4"/>
  <c r="G7" i="4"/>
  <c r="M41" i="6"/>
  <c r="M43" i="6"/>
  <c r="M44" i="6"/>
  <c r="M45" i="6"/>
  <c r="M46" i="6"/>
  <c r="M49" i="6"/>
  <c r="M51" i="6"/>
  <c r="M52" i="6"/>
  <c r="M53" i="6"/>
  <c r="M55" i="6"/>
  <c r="M56" i="6"/>
  <c r="M57" i="6"/>
  <c r="M58" i="6"/>
  <c r="M42" i="6"/>
  <c r="M47" i="6"/>
  <c r="M48" i="6"/>
  <c r="M50" i="6"/>
  <c r="M54" i="6"/>
</calcChain>
</file>

<file path=xl/sharedStrings.xml><?xml version="1.0" encoding="utf-8"?>
<sst xmlns="http://schemas.openxmlformats.org/spreadsheetml/2006/main" count="1120" uniqueCount="845">
  <si>
    <t xml:space="preserve"> </t>
  </si>
  <si>
    <t>OyaPlan Venues</t>
  </si>
  <si>
    <t>Ikeja</t>
  </si>
  <si>
    <t>Confidential</t>
  </si>
  <si>
    <t>Venue Name</t>
  </si>
  <si>
    <t>Menu Type</t>
  </si>
  <si>
    <t>Activity or Things to Note</t>
  </si>
  <si>
    <t>Address</t>
  </si>
  <si>
    <t>Contact</t>
  </si>
  <si>
    <r>
      <t>Budget per Person (</t>
    </r>
    <r>
      <rPr>
        <sz val="14"/>
        <color theme="1"/>
        <rFont val="Aptos"/>
        <family val="2"/>
        <charset val="1"/>
      </rPr>
      <t>₦</t>
    </r>
    <r>
      <rPr>
        <sz val="14"/>
        <color theme="1"/>
        <rFont val="Segoe UI"/>
        <family val="2"/>
      </rPr>
      <t>)</t>
    </r>
  </si>
  <si>
    <t>Opening Time</t>
  </si>
  <si>
    <t>Social Media Presence (IG/Tiktok Handles)</t>
  </si>
  <si>
    <t>Wait Time</t>
  </si>
  <si>
    <t>Public Menu or Booking</t>
  </si>
  <si>
    <t>Current Partners</t>
  </si>
  <si>
    <t>Yellow Chilli Ikeja</t>
  </si>
  <si>
    <t>20-45 minutes</t>
  </si>
  <si>
    <t>None</t>
  </si>
  <si>
    <t>30-60 minutes</t>
  </si>
  <si>
    <t>The Orchid Bistro Ikeja</t>
  </si>
  <si>
    <t>Bistro, cafe, pastries</t>
  </si>
  <si>
    <t>Garden cafe and brunch</t>
  </si>
  <si>
    <t>Jevinik Ikeja</t>
  </si>
  <si>
    <t>CUT Steakhouse</t>
  </si>
  <si>
    <t>Radisson Blu</t>
  </si>
  <si>
    <t>Group dining, Asian food</t>
  </si>
  <si>
    <t>Rhapsody's Ikeja City Mall</t>
  </si>
  <si>
    <t>Ikeja City Mall, Alausa/Ikeja</t>
  </si>
  <si>
    <t>Ikeja City Mall</t>
  </si>
  <si>
    <t>15-35 minutes</t>
  </si>
  <si>
    <t>Quick-service food</t>
  </si>
  <si>
    <t>10-25 minutes</t>
  </si>
  <si>
    <t>Nigerian quick-service meals</t>
  </si>
  <si>
    <t>10-30 minutes</t>
  </si>
  <si>
    <t>Lounge and nightlife</t>
  </si>
  <si>
    <t>Bar food and drinks</t>
  </si>
  <si>
    <t>New Afrika Shrine</t>
  </si>
  <si>
    <t>Local food and drinks</t>
  </si>
  <si>
    <t>Afrobeat, live music, culture</t>
  </si>
  <si>
    <t>Event-dependent</t>
  </si>
  <si>
    <t>Entry/event info; verify</t>
  </si>
  <si>
    <t>Ndubuisi Kanu Park</t>
  </si>
  <si>
    <t>Not food-led</t>
  </si>
  <si>
    <t>Outdoor recreation and park hangout</t>
  </si>
  <si>
    <t>Alausa, Ikeja</t>
  </si>
  <si>
    <t>Variable</t>
  </si>
  <si>
    <t>Not applicable</t>
  </si>
  <si>
    <t>Lagos State</t>
  </si>
  <si>
    <t>Johnson Jakande Tinubu Park</t>
  </si>
  <si>
    <t>Outdoor recreation and photos</t>
  </si>
  <si>
    <t>Silverbird Cinemas Ikeja</t>
  </si>
  <si>
    <t>Cinema snacks</t>
  </si>
  <si>
    <t>Movies and entertainment</t>
  </si>
  <si>
    <t>Showtime-dependent</t>
  </si>
  <si>
    <t>Yes - booking; verify</t>
  </si>
  <si>
    <t>Bungalow Restaurant Ikeja</t>
  </si>
  <si>
    <t>Continental, Mexican, sushi</t>
  </si>
  <si>
    <t>Casual dining and drinks</t>
  </si>
  <si>
    <t>Browns Cafe and Restaurant</t>
  </si>
  <si>
    <t>Cafe meals and continental</t>
  </si>
  <si>
    <t>Cafe, brunch, casual dining</t>
  </si>
  <si>
    <t>Sheraton Lagos - La Giara</t>
  </si>
  <si>
    <t>Italian / hotel dining</t>
  </si>
  <si>
    <t>Hotel restaurant</t>
  </si>
  <si>
    <t>Sheraton Lagos Hotel, Mobolaji Bank Anthony Way, Ikeja</t>
  </si>
  <si>
    <t>Sheraton</t>
  </si>
  <si>
    <t>Sheraton Lagos - Goodies Pub</t>
  </si>
  <si>
    <t>Pub food and drinks</t>
  </si>
  <si>
    <t>Hotel pub and social drinks</t>
  </si>
  <si>
    <t>University of Suya Allen</t>
  </si>
  <si>
    <t>Suya and grills</t>
  </si>
  <si>
    <t>Street food / evening bites</t>
  </si>
  <si>
    <t>Tastee Fried Chicken Ikeja</t>
  </si>
  <si>
    <t>Fast food, Nigerian meals, chicken</t>
  </si>
  <si>
    <t>Bukka Hut Ikeja</t>
  </si>
  <si>
    <t>Budget local food</t>
  </si>
  <si>
    <t>Allen Avenue Lounge Cluster</t>
  </si>
  <si>
    <t>Nightlife and social outings</t>
  </si>
  <si>
    <t>Ikoyi</t>
  </si>
  <si>
    <t>Abstract Ikoyi</t>
  </si>
  <si>
    <t>Nigerian dishes</t>
  </si>
  <si>
    <t>Dining inside Thought Pyramid Art Centre</t>
  </si>
  <si>
    <t>96 Norman Williams Street, Ikoyi</t>
  </si>
  <si>
    <t>IG referenced by FT; verify</t>
  </si>
  <si>
    <t>Thought Pyramid</t>
  </si>
  <si>
    <t>Veggie Victory</t>
  </si>
  <si>
    <t>Vegan Nigerian and international</t>
  </si>
  <si>
    <t>Vegan/vegetarian dining</t>
  </si>
  <si>
    <t>Dolphin Estate, Ikoyi</t>
  </si>
  <si>
    <t>The George Restaurant</t>
  </si>
  <si>
    <t>Hotel dining, continental</t>
  </si>
  <si>
    <t>Upscale dining and drinks</t>
  </si>
  <si>
    <t>The George</t>
  </si>
  <si>
    <t>The Wheatbaker Grill Room</t>
  </si>
  <si>
    <t>Hotel dining, grill, continental</t>
  </si>
  <si>
    <t>Fine dining and business meals</t>
  </si>
  <si>
    <t>The Wheatbaker</t>
  </si>
  <si>
    <t>Bogobiri House</t>
  </si>
  <si>
    <t>Nigerian/continental meals and drinks</t>
  </si>
  <si>
    <t>Live music, art, boutique hotel</t>
  </si>
  <si>
    <t>Bogobiri</t>
  </si>
  <si>
    <t>Jazzhole</t>
  </si>
  <si>
    <t>Cafe/light bites</t>
  </si>
  <si>
    <t>Books, records, cultural events</t>
  </si>
  <si>
    <t>Miliki</t>
  </si>
  <si>
    <t>Small plates and drinks</t>
  </si>
  <si>
    <t>Members lounge, creative/culture events</t>
  </si>
  <si>
    <t>Tarragon Lagos</t>
  </si>
  <si>
    <t>Private dining and culinary experience</t>
  </si>
  <si>
    <t>Reservation-dependent</t>
  </si>
  <si>
    <t>Booking required; verify</t>
  </si>
  <si>
    <t>Danfo Bistro</t>
  </si>
  <si>
    <t>The Winehouse Lounge</t>
  </si>
  <si>
    <t>Hidden lounge and drinks</t>
  </si>
  <si>
    <t>The Orchid Bistro</t>
  </si>
  <si>
    <t>Liquid Hub Ikoyi</t>
  </si>
  <si>
    <t>Nuli Lounge Ikoyi</t>
  </si>
  <si>
    <t>Healthy casual dining</t>
  </si>
  <si>
    <t>Hans and Rene Ikoyi</t>
  </si>
  <si>
    <t>Dessert and cafe stop</t>
  </si>
  <si>
    <t>Cafe Neo Ikoyi</t>
  </si>
  <si>
    <t>Cafe, meetings, work-friendly</t>
  </si>
  <si>
    <t>Eric Kayser Ikoyi</t>
  </si>
  <si>
    <t>Breakfast, cafe meetings</t>
  </si>
  <si>
    <t>Casa Lydia</t>
  </si>
  <si>
    <t>Restaurant and guesthouse dining</t>
  </si>
  <si>
    <t>Parkview Estate Food Spots</t>
  </si>
  <si>
    <t>Neighbourhood food crawl</t>
  </si>
  <si>
    <t>Dolphin Estate Food Spots</t>
  </si>
  <si>
    <t>Budget food crawl</t>
  </si>
  <si>
    <t>Awolowo Road Restaurant Cluster</t>
  </si>
  <si>
    <t>Food crawl / discovery cluster</t>
  </si>
  <si>
    <t>Kingsway Road Cafe Cluster</t>
  </si>
  <si>
    <t>Cafe hopping and casual meets</t>
  </si>
  <si>
    <t>Glover Road Food Cluster</t>
  </si>
  <si>
    <t>Neighbourhood dining</t>
  </si>
  <si>
    <t>Bourdillon Road Lounge Cluster</t>
  </si>
  <si>
    <t>Lounge / nightlife area</t>
  </si>
  <si>
    <t>Ikoyi Plaza Food Spots</t>
  </si>
  <si>
    <t>Casual food options</t>
  </si>
  <si>
    <t>Falomo Shopping Centre Food Spots</t>
  </si>
  <si>
    <t>Shopping and food stop</t>
  </si>
  <si>
    <t>Glover Court Suya Spots</t>
  </si>
  <si>
    <t>Bourdillon Suya and Grill Spots</t>
  </si>
  <si>
    <t>Ikoyi Waterfront Hangout Cluster</t>
  </si>
  <si>
    <t>Waterfront views and social outings</t>
  </si>
  <si>
    <t>Placebo Restaurant and Bar</t>
  </si>
  <si>
    <t>Farm City Lagos</t>
  </si>
  <si>
    <t>51, Bashiru Shittu Avenue, Magodo, Ikosi Ketu</t>
  </si>
  <si>
    <t>36, Ogudu Road, Ogudu</t>
  </si>
  <si>
    <t>OfadaBoy</t>
  </si>
  <si>
    <t>Shodex Garden</t>
  </si>
  <si>
    <t>Blue Room by Reality</t>
  </si>
  <si>
    <t>Arami Café Restaurant &amp; Bar</t>
  </si>
  <si>
    <t>Filmhouse Surulere</t>
  </si>
  <si>
    <t>KFC Bode Thomas</t>
  </si>
  <si>
    <t>Domino's Pizza Surulere</t>
  </si>
  <si>
    <t>Cold Stone Creamery Surulere</t>
  </si>
  <si>
    <t>Chicken Republic Surulere</t>
  </si>
  <si>
    <t>The Place Restaurant Surulere</t>
  </si>
  <si>
    <t>Tastee Fried Chicken Surulere</t>
  </si>
  <si>
    <t>Sweet Sensation Surulere</t>
  </si>
  <si>
    <t>Mr Bigg's Surulere</t>
  </si>
  <si>
    <t>Debonairs Pizza Surulere</t>
  </si>
  <si>
    <t>Pizza Hut Surulere</t>
  </si>
  <si>
    <t>Bukkateria Surulere</t>
  </si>
  <si>
    <t>Yellow Chilli Surulere</t>
  </si>
  <si>
    <t>Jevinik Surulere</t>
  </si>
  <si>
    <t>Lounge 38 Surulere</t>
  </si>
  <si>
    <t>Club Rumors Surulere</t>
  </si>
  <si>
    <t>O'jez Restaurant Surulere</t>
  </si>
  <si>
    <t>Teslim Balogun Stadium</t>
  </si>
  <si>
    <t>National Stadium Surulere</t>
  </si>
  <si>
    <t>Eko Club</t>
  </si>
  <si>
    <t>Coded Lounge Surulere</t>
  </si>
  <si>
    <t>Barbeque Spot Surulere</t>
  </si>
  <si>
    <t>Bode Thomas Suya Spots</t>
  </si>
  <si>
    <t>Masha Road Food Spots</t>
  </si>
  <si>
    <t>Leisure Mall Food Court</t>
  </si>
  <si>
    <t>Adeniran Ogunsanya Cafe Cluster</t>
  </si>
  <si>
    <t>Surulere</t>
  </si>
  <si>
    <t>Magodo/Ketu/Ogudu</t>
  </si>
  <si>
    <t>Lekki Phase 1</t>
  </si>
  <si>
    <t>Victoria Island</t>
  </si>
  <si>
    <t>Yaba</t>
  </si>
  <si>
    <t>Circa Lagos</t>
  </si>
  <si>
    <t>Frozen Rolls NG</t>
  </si>
  <si>
    <t>Brunch Bar Lagos</t>
  </si>
  <si>
    <t>Haven11 Restaurant &amp; Lounge</t>
  </si>
  <si>
    <t>Dani Restaurant and Bar</t>
  </si>
  <si>
    <t>The Bodega Emporium</t>
  </si>
  <si>
    <t>Soho Lagos</t>
  </si>
  <si>
    <t>KymaBeach Lagos</t>
  </si>
  <si>
    <t>Zura Lagos</t>
  </si>
  <si>
    <t>Bay Lounge</t>
  </si>
  <si>
    <t>HSE Gourmet</t>
  </si>
  <si>
    <t>Shark House 101</t>
  </si>
  <si>
    <t>Ilé Iyán - Dr Muiz Banire</t>
  </si>
  <si>
    <t>Ilé Iyán - Wole Olateju</t>
  </si>
  <si>
    <t>Hanes and Jones</t>
  </si>
  <si>
    <t>Terraform Restaurant &amp; Bar</t>
  </si>
  <si>
    <t>Panu Lagos</t>
  </si>
  <si>
    <t>Forno Pizza &amp; Sips</t>
  </si>
  <si>
    <t>Maple Lagos</t>
  </si>
  <si>
    <t>My Food by Hilda</t>
  </si>
  <si>
    <t>Gogi Lagos</t>
  </si>
  <si>
    <t>Nosh Lagos</t>
  </si>
  <si>
    <t>ILE EROS</t>
  </si>
  <si>
    <t>Skah Lagos</t>
  </si>
  <si>
    <t>Stories Lagos</t>
  </si>
  <si>
    <t>Eric Kayser Lekki</t>
  </si>
  <si>
    <t>Chicken Republic Lekki Phase 1</t>
  </si>
  <si>
    <t>2 Kola Adeyina Close, Off Jerry Iriabe Street, Lekki Phase 1</t>
  </si>
  <si>
    <t>7, Bisola Durosinmi Etti Drive, Off Admiralty Way, Lekki Phase 1</t>
  </si>
  <si>
    <t>33, Grace Anjous Drive, Lekki Phase 1</t>
  </si>
  <si>
    <t>41, Admiralty Road, Lekki Phase 1</t>
  </si>
  <si>
    <t>House 1, Plot 1501 Itirin Court I, Off Bishop Aboyade Cole Street, Eti-Osa, Lekki</t>
  </si>
  <si>
    <t>3b, General Ogomudia Road, Eti-Osa, Lekki</t>
  </si>
  <si>
    <t>6A, Ogbunike Street, Lekki Phase 1</t>
  </si>
  <si>
    <t>Inside Elegushi Private Beach, Ikate</t>
  </si>
  <si>
    <t>Plot 10, Block 12A, Admiralty Road, Lekki Phase 1</t>
  </si>
  <si>
    <t>25, Babatope Bejide Crescent, Lekki Phase 1</t>
  </si>
  <si>
    <t>Admiralty Way, Lekki Phase 1</t>
  </si>
  <si>
    <t>12, Olubunmi Owa Street, Admiralty Way, Lekki Phase 1</t>
  </si>
  <si>
    <t>Plot 6, Dr Muiz Banire Street, Lekki Phase 1</t>
  </si>
  <si>
    <t>4A, Wole Olateju Crescent, Lekki Phase 1</t>
  </si>
  <si>
    <t>Block 2, Plot 1, Okunade Bluewaters Scheme, Lekki</t>
  </si>
  <si>
    <t>14, Wole Olateju Crescent, Lekki Phase 1</t>
  </si>
  <si>
    <t>9, Otunba Adedoyin Ogungbe Street, Lekki Phase 1</t>
  </si>
  <si>
    <t>8a, Emma Abimbola Cole, Lekki Phase 1</t>
  </si>
  <si>
    <t>2, Ichie Kris Onyekweju Street, Off Abeke Animashaun Street, Off Chris Madweke Road, Lekki Phase 1</t>
  </si>
  <si>
    <t>5b, Abeke Animashaun Street, Lekki Phase 1</t>
  </si>
  <si>
    <t>31A, Admiralty Way, Lekki Phase 1</t>
  </si>
  <si>
    <t>19, Da Silva, Lekki Phase 1</t>
  </si>
  <si>
    <t>Bishop Aboyade Cole, Lekki Phase 1</t>
  </si>
  <si>
    <t>Ozone Cinemas</t>
  </si>
  <si>
    <t>Chicken Republic E-Centre Yaba</t>
  </si>
  <si>
    <t>The Grid Restaurant</t>
  </si>
  <si>
    <t>Chicken Republic Akoka</t>
  </si>
  <si>
    <t>Sabo Market Yaba</t>
  </si>
  <si>
    <t>White House Yaba</t>
  </si>
  <si>
    <t>Eni Afe Lamo</t>
  </si>
  <si>
    <t>Banilux Bar</t>
  </si>
  <si>
    <t>Domino's Pizza Sabo Yaba</t>
  </si>
  <si>
    <t>Cold Stone Creamery Yaba</t>
  </si>
  <si>
    <t>KFC Yaba</t>
  </si>
  <si>
    <t>Chicken Republic Yaba</t>
  </si>
  <si>
    <t>The Place Restaurant Yaba</t>
  </si>
  <si>
    <t>Tastee Fried Chicken Yaba</t>
  </si>
  <si>
    <t>Cafe Neo Yaba</t>
  </si>
  <si>
    <t>Bukka Hut Yaba</t>
  </si>
  <si>
    <t>Mr Bigg's Yaba</t>
  </si>
  <si>
    <t>Sweet Sensation Yaba</t>
  </si>
  <si>
    <t>Debonairs Pizza Yaba</t>
  </si>
  <si>
    <t>University of Suya Yaba</t>
  </si>
  <si>
    <t>Olaiya Food Canteen Yaba</t>
  </si>
  <si>
    <t>University of Lagos Lagoon Front</t>
  </si>
  <si>
    <t>UNILAG Sports Centre</t>
  </si>
  <si>
    <t>Yaba College of Technology Sports Complex</t>
  </si>
  <si>
    <t>Big Treat Yaba</t>
  </si>
  <si>
    <t>Kobis Foods Yaba</t>
  </si>
  <si>
    <t>Akoka Food Spots</t>
  </si>
  <si>
    <t>Commercial Avenue Food Cluster</t>
  </si>
  <si>
    <t>Tejuosho Food Court</t>
  </si>
  <si>
    <t>Yaba Mainland Lounge Cluster</t>
  </si>
  <si>
    <t>E-Centre, Commercial Avenue, Sabo, Yaba</t>
  </si>
  <si>
    <t>19b, Thorborn Avenue, Sabo, Yaba</t>
  </si>
  <si>
    <t>Rora Lagos</t>
  </si>
  <si>
    <t>Bamboa Lagos</t>
  </si>
  <si>
    <t>Vici Lagos</t>
  </si>
  <si>
    <t>Locale Lagos</t>
  </si>
  <si>
    <t>Salma's Lebanese Cuisine</t>
  </si>
  <si>
    <t>Rapa Nui</t>
  </si>
  <si>
    <t>TheLandmarkUpsideDownHouse</t>
  </si>
  <si>
    <t>R.S.V.P. Lagos</t>
  </si>
  <si>
    <t>NOK by Alara</t>
  </si>
  <si>
    <t>SLoW Lagos</t>
  </si>
  <si>
    <t>Z Kitchen</t>
  </si>
  <si>
    <t>Yellow Chilli Victoria Island</t>
  </si>
  <si>
    <t>Hard Rock Cafe Lagos</t>
  </si>
  <si>
    <t>TheSmiths</t>
  </si>
  <si>
    <t>Cafeteria Nigeria</t>
  </si>
  <si>
    <t>Zkitchen Lagos</t>
  </si>
  <si>
    <t>Sora Lagos</t>
  </si>
  <si>
    <t>La Taverna Restaurant</t>
  </si>
  <si>
    <t>Ki Lagos</t>
  </si>
  <si>
    <t>FlowerShopCafe</t>
  </si>
  <si>
    <t>Talindo Steak House</t>
  </si>
  <si>
    <t>The Nahous</t>
  </si>
  <si>
    <t>Shiro Lagos</t>
  </si>
  <si>
    <t>Avista Beach Resort</t>
  </si>
  <si>
    <t>La Chaumiere Restaurant</t>
  </si>
  <si>
    <t>Terra Kulture</t>
  </si>
  <si>
    <t>Kaly Lagos</t>
  </si>
  <si>
    <t>XO Bakery</t>
  </si>
  <si>
    <t>Manuela Residence Restaurant</t>
  </si>
  <si>
    <t>Cactus Restaurant</t>
  </si>
  <si>
    <t>Bungalow Restaurant</t>
  </si>
  <si>
    <t>Samantha's Bistro &amp; Grill</t>
  </si>
  <si>
    <t>Jinja Lagos</t>
  </si>
  <si>
    <t>Nomaada</t>
  </si>
  <si>
    <t>Turaka Lagos</t>
  </si>
  <si>
    <t>PizzaGarden Lagos</t>
  </si>
  <si>
    <t>The Afrobeat Lagos</t>
  </si>
  <si>
    <t>Indigo Restaurant and Bar</t>
  </si>
  <si>
    <t>Izanagi Restaurant by The Blowfish Group</t>
  </si>
  <si>
    <t>Maison Eric Kayser</t>
  </si>
  <si>
    <t>The House</t>
  </si>
  <si>
    <t>Grain Lagos</t>
  </si>
  <si>
    <t>Sky Restaurant &amp; Lounge</t>
  </si>
  <si>
    <t>Amara by delis</t>
  </si>
  <si>
    <t>Grazia House - Restro Lounge</t>
  </si>
  <si>
    <t>Red Chinese Restaurant</t>
  </si>
  <si>
    <t>Bubbletii.ng</t>
  </si>
  <si>
    <t>Crossroads Tex-Mex Restaurant</t>
  </si>
  <si>
    <t>South Eatery and Social House</t>
  </si>
  <si>
    <t>Velvett Grill &amp; Lounge</t>
  </si>
  <si>
    <t>20, Ologun Agbaje, Victoria Island</t>
  </si>
  <si>
    <t>82, Adetokunbo Ademola Street, Victoria Island</t>
  </si>
  <si>
    <t>106a, Anifowose Street, Victoria Island</t>
  </si>
  <si>
    <t>2, Saka Jojo Street, Victoria Island</t>
  </si>
  <si>
    <t>20-24, Ozumba Mbadiwe, Victoria Island</t>
  </si>
  <si>
    <t>256, Etim Inyang Crescent, Victoria Island</t>
  </si>
  <si>
    <t>3 &amp; 4, Water Corporation Drive, Victoria Island</t>
  </si>
  <si>
    <t>9 Eletu Ogabi Street, Victoria Island</t>
  </si>
  <si>
    <t>12A Akin Olugbade Street, Victoria Island</t>
  </si>
  <si>
    <t>2 Musa Yar'Adua Street, Victoria Island</t>
  </si>
  <si>
    <t>19 Saka Tinubu Street, Victoria Island</t>
  </si>
  <si>
    <t>27 Oju Olobun Close, Victoria Island</t>
  </si>
  <si>
    <t>Landmark Village, Water Corporation Road, Oniru</t>
  </si>
  <si>
    <t>16, Akin Adesola Street, Victoria Island</t>
  </si>
  <si>
    <t>19, Saka Tinubu Street, Victoria Island</t>
  </si>
  <si>
    <t>15th Floor, Trinity Towers, Chief Yesufu Abiodun Oniru Road</t>
  </si>
  <si>
    <t>48, Balarabe MuS Crescent, Victoria Island</t>
  </si>
  <si>
    <t>31A, Ojuu Ologbon Close, Victoria Island</t>
  </si>
  <si>
    <t>274a, Akin Adesola, Victoria Island</t>
  </si>
  <si>
    <t>7b, Karimu Kotun, Victoria Island</t>
  </si>
  <si>
    <t>6-8, Ahmadu Bello Way, Victoria Island</t>
  </si>
  <si>
    <t>Landmark Village, Water Corporation Road, Oniru, Victoria Island</t>
  </si>
  <si>
    <t>Raliatu Olorunfunmike Street, Eti-Osa, Lekki</t>
  </si>
  <si>
    <t>1384, Tiamiyu Savage, Victoria Island</t>
  </si>
  <si>
    <t>1376, Tiamiyu Savage, Off Ahmadu Bello Way, Victoria Island</t>
  </si>
  <si>
    <t>1, Akin Adesola, NumberOneBuilding, Victoria Island</t>
  </si>
  <si>
    <t>266 (Plot C), Kofo Abayomi Street, Victoria Island</t>
  </si>
  <si>
    <t>13, Taslim Elias Close, Victoria Island</t>
  </si>
  <si>
    <t>20/24, Ozumba Mbadiwe Avenue, Victoria Island</t>
  </si>
  <si>
    <t>1296, Akin Adesola Street, Victoria Island</t>
  </si>
  <si>
    <t>Ebonylifeplace, 1637, Adetokunbo Ademola, Victoria Island</t>
  </si>
  <si>
    <t>4B, Musa Yar'adua Street, Victoria Island</t>
  </si>
  <si>
    <t>242B, Muri Okunola Street, Victoria Island</t>
  </si>
  <si>
    <t>19B, Idejo Street, Adeola Odeku Street, Victoria Island</t>
  </si>
  <si>
    <t>Alliance Francaise, Victoria Island</t>
  </si>
  <si>
    <t>4, A.J. Marinho Drive, Victoria Island</t>
  </si>
  <si>
    <t>The Palms Shopping Mall, Bisway Street, Maroko, Victoria Island</t>
  </si>
  <si>
    <t>Eko Hotel, 1415, Adetokunbo Ademola Street, Victoria Island</t>
  </si>
  <si>
    <t>1, Karimu Kotun Street, Victoria Island</t>
  </si>
  <si>
    <t>271b, Ajose Adeogun, Victoria Island</t>
  </si>
  <si>
    <t>Landmark, Victoria Island</t>
  </si>
  <si>
    <t>92B, Younis Bashorun Street, Victoria Island</t>
  </si>
  <si>
    <t>Restaurant and Bar</t>
  </si>
  <si>
    <t>info@yellowchilling.com, 08089948999</t>
  </si>
  <si>
    <t>Modern African Cuisine and Culture</t>
  </si>
  <si>
    <t>Open Time</t>
  </si>
  <si>
    <t>11am - 9pm Daily</t>
  </si>
  <si>
    <t>Instagram</t>
  </si>
  <si>
    <t>20-30 minutes</t>
  </si>
  <si>
    <t>Cilantro Lagos</t>
  </si>
  <si>
    <t>Do not serve beef &amp; pork; Halal meats only</t>
  </si>
  <si>
    <t>info@cilantrorestaurants.com, 09081000100</t>
  </si>
  <si>
    <t>Globally Inspired Foods; Pan-Asian Influences</t>
  </si>
  <si>
    <t>11am - 11pm Daily</t>
  </si>
  <si>
    <t>Yes - Web</t>
  </si>
  <si>
    <t>Sixty by Chef Lu'</t>
  </si>
  <si>
    <t>Rooftop Lounge &amp; Social House</t>
  </si>
  <si>
    <t>Chowdeck</t>
  </si>
  <si>
    <t>Events such as Sundown Sunday, Latitude &amp; Friends, Rooftop Movie Night</t>
  </si>
  <si>
    <t>270, Herbert Macaulay Way, Yaba</t>
  </si>
  <si>
    <t>Saturday 9am</t>
  </si>
  <si>
    <t>Shu Garden Restaurants</t>
  </si>
  <si>
    <t>Chinese Restaurant</t>
  </si>
  <si>
    <t>Pictures are allowed</t>
  </si>
  <si>
    <t>Ozumba Mbadiwe, Eti-Osa, Victoria Island</t>
  </si>
  <si>
    <t>Instagram- Shugarden_vi</t>
  </si>
  <si>
    <t>08125848463, 08124509028</t>
  </si>
  <si>
    <t>Sun - Thur (7am - 9pm), Fri - 11pm, Sat - 10pm</t>
  </si>
  <si>
    <t>The Orchid Bistro Ikoyi</t>
  </si>
  <si>
    <t>40b, Raymond Njoku, Ikoyi</t>
  </si>
  <si>
    <t>Instagram - theorchidbistro</t>
  </si>
  <si>
    <t>Yes - Instagram</t>
  </si>
  <si>
    <t xml:space="preserve">Bistro Meals, Café, Breakfast, Beverages </t>
  </si>
  <si>
    <t>25 -  50 minutes</t>
  </si>
  <si>
    <t>Instagram - cilantrolagos</t>
  </si>
  <si>
    <t>Instagram - yellowchilling</t>
  </si>
  <si>
    <t>26, Isaac John Street, Ikeja GRA, Ikeja</t>
  </si>
  <si>
    <t>35, Joel Ogunaike Street, Ikeja GRA, Ikeja</t>
  </si>
  <si>
    <t>58A Isaac John Street, Ikeja GRA, Ikeja</t>
  </si>
  <si>
    <t>21, Isaac John Street, Ikeja GRA, Ikeja</t>
  </si>
  <si>
    <t>07015863685</t>
  </si>
  <si>
    <t>Nigerian Local Meals</t>
  </si>
  <si>
    <t>Local restaurant</t>
  </si>
  <si>
    <t>12'' Baguette</t>
  </si>
  <si>
    <t>Frosty Pop</t>
  </si>
  <si>
    <t>31b, Oju Olobun Close, Victoria Island</t>
  </si>
  <si>
    <t>Ikoko Lagos</t>
  </si>
  <si>
    <t>Restaurant &amp; Bar</t>
  </si>
  <si>
    <t>23b, Isaac John Street, Ikeja GRA, Ikeja</t>
  </si>
  <si>
    <t>09154366666</t>
  </si>
  <si>
    <t>Instagram - IkokoLagos</t>
  </si>
  <si>
    <t>12pm - 12am Daily</t>
  </si>
  <si>
    <t>Sitting Capacity of 90 people</t>
  </si>
  <si>
    <t>40b, Rotimi Omonusi Close, Oba Dosunmu Ikeja GRA, Ikeja</t>
  </si>
  <si>
    <t>08026753358</t>
  </si>
  <si>
    <t>Mon - Fri (9am - 8pm), Sat - 11am - 8pm, Sun - 12pm - 8pm</t>
  </si>
  <si>
    <t>Instagram - 12inchbaguette.ng</t>
  </si>
  <si>
    <t xml:space="preserve">Baguette, Tacos, Pizza, Drinks (Latte, Shakes, Tea, Matcha) </t>
  </si>
  <si>
    <t>They cater for events, Board Games</t>
  </si>
  <si>
    <t>Radisson Blu Hotel, 38/40, Isaac John Street, Ikeja GRA, Ikeja</t>
  </si>
  <si>
    <t>10am - 10pm Daily</t>
  </si>
  <si>
    <t>Instagram - cutsteakhouseikeja</t>
  </si>
  <si>
    <t>09087805555, 09087205558</t>
  </si>
  <si>
    <t>Steakhouse and continental dishes</t>
  </si>
  <si>
    <t>Upscale hotel dining; A bit dark for pictures</t>
  </si>
  <si>
    <t>Hua Han Korean Restaurant</t>
  </si>
  <si>
    <t>Korean Cuisine</t>
  </si>
  <si>
    <t>45c, Sobo Arobiodu Street, Ikeja GRA, Ikeja</t>
  </si>
  <si>
    <t>09098677777</t>
  </si>
  <si>
    <t>10:30am - 10:30pm</t>
  </si>
  <si>
    <t>Instagram - huahan_lagos</t>
  </si>
  <si>
    <t>Contemporary Lounge &amp; Bar; Nightlife Energy</t>
  </si>
  <si>
    <t>Mall Dining &amp; Drinks</t>
  </si>
  <si>
    <t>53-55, Sobo Arobiodu Street, Ikeja GRA, Ikeja;; &amp; ;; Ikeja City Mall, Alausa - Ikeja</t>
  </si>
  <si>
    <t>08177777823, 08170707075</t>
  </si>
  <si>
    <t>Ouida Lagos</t>
  </si>
  <si>
    <t>Café, Bookstore, Workspace</t>
  </si>
  <si>
    <t>34, Ajanaku Street, Off Salvation Road, Awuse Estate, Opebi, Ikeja</t>
  </si>
  <si>
    <t>Instagram - ouida_lagos</t>
  </si>
  <si>
    <t>Bookstore, Workspace, Free Wi-Fi (500/hour)</t>
  </si>
  <si>
    <t>WiFi - 500 per hour</t>
  </si>
  <si>
    <t>Mon - Fri(9am - 6pm), Sat (10am - 5pm)</t>
  </si>
  <si>
    <t>community@ouidalagos.com, 09166038000</t>
  </si>
  <si>
    <t>Source</t>
  </si>
  <si>
    <t>Fine dining / Contemporary / Date-night restaurant</t>
  </si>
  <si>
    <t>Bistro / Casual dining</t>
  </si>
  <si>
    <t>Wine lounge / Grill / African &amp; Continental</t>
  </si>
  <si>
    <t>Bistro / Brunch / Chicken &amp; waffles / Casual upscale</t>
  </si>
  <si>
    <t>Lounge / Bar / Nigerian (Amala, prawn akara) / Music venue</t>
  </si>
  <si>
    <t>Lounge / Juice bar / Cafe / Light meals</t>
  </si>
  <si>
    <t>Gelato / Pastries / Desserts / Sweet treats</t>
  </si>
  <si>
    <t>Cafe / Coffee / Pastries / Light meals / Afro-centric</t>
  </si>
  <si>
    <t>French bakery / Cafe / Bistro / Pastries &amp; light meals</t>
  </si>
  <si>
    <t>Bistro / Italian-influenced / Upscale casual</t>
  </si>
  <si>
    <t>Mixed cluster (local, takeaway, small eateries)</t>
  </si>
  <si>
    <t>Mixed restaurants, cafes, lounges</t>
  </si>
  <si>
    <t>Cafes / Light meals / Coffee spots</t>
  </si>
  <si>
    <t>Mixed restaurants, bistros, gelato (incl. Hans &amp; Rene area)</t>
  </si>
  <si>
    <t>Lounges / Bars / Upscale hangouts</t>
  </si>
  <si>
    <t>Mixed fast-casual / takeaway</t>
  </si>
  <si>
    <t>Food court style / Mixed</t>
  </si>
  <si>
    <t>Suya / Grills / Street-style</t>
  </si>
  <si>
    <t>Suya / Grills</t>
  </si>
  <si>
    <t>Mixed hangouts / lounges / outdoor</t>
  </si>
  <si>
    <t xml:space="preserve">30 Lugard Avenue, Ikoyi; </t>
  </si>
  <si>
    <t xml:space="preserve">4 Onitolo Road, Ikoyi; </t>
  </si>
  <si>
    <t xml:space="preserve">9 Maitama Sule Street, Ikoyi; </t>
  </si>
  <si>
    <t xml:space="preserve">168 Awolowo Road, Ikoyi; </t>
  </si>
  <si>
    <t xml:space="preserve">7B Etim Inyang Crescent, Victoria Island/Ikoyi axis; </t>
  </si>
  <si>
    <t xml:space="preserve">Reservation-only; </t>
  </si>
  <si>
    <t xml:space="preserve">Evening; </t>
  </si>
  <si>
    <t xml:space="preserve">Nerdc Road, Agidingbi/Ikeja; </t>
  </si>
  <si>
    <t>Ikeja GRA;  exact address</t>
  </si>
  <si>
    <t>Allen Avenue, Ikeja;  vendor</t>
  </si>
  <si>
    <t>Ikeja;  exact branch</t>
  </si>
  <si>
    <t>Allen Avenue, Ikeja;  venues</t>
  </si>
  <si>
    <t xml:space="preserve">Evening/night; </t>
  </si>
  <si>
    <t>50 Raymond Njoku St, Ikoyi, Lagos</t>
  </si>
  <si>
    <t>Ikoyi (exact street limited in public sources)</t>
  </si>
  <si>
    <t>19A Mekunwen Road / Off Oyinkan Abayomi Drive, Ikoyi</t>
  </si>
  <si>
    <t>40B Raymond Njoku St, Ikoyi (Orchid Bistro Express)</t>
  </si>
  <si>
    <t>7/12 Rumens Road, Ikoyi</t>
  </si>
  <si>
    <t>120 Awolowo Road, Ikoyi</t>
  </si>
  <si>
    <t>Glover Road / Upbeat area, Ikoyi (outlet)</t>
  </si>
  <si>
    <t>Muritala Mohammed Drive / area, Ikoyi (one of locations)</t>
  </si>
  <si>
    <t>9 Osborne Road, Ikoyi (Mike Adenuga Center / Alliance Française)</t>
  </si>
  <si>
    <t>Glover Road, Ikoyi (historical / former location references)</t>
  </si>
  <si>
    <t>Parkview Estate, Ikoyi</t>
  </si>
  <si>
    <t>Along Awolowo Road, Ikoyi</t>
  </si>
  <si>
    <t>Along Kingsway Road, Ikoyi</t>
  </si>
  <si>
    <t>Along Glover Road, Ikoyi</t>
  </si>
  <si>
    <t>Along Bourdillon Road, Ikoyi</t>
  </si>
  <si>
    <t>Ikoyi Plaza area</t>
  </si>
  <si>
    <t>Falomo Shopping Centre, Ikoyi</t>
  </si>
  <si>
    <t>Glover Court area, Ikoyi</t>
  </si>
  <si>
    <t>Ikoyi waterfront areas</t>
  </si>
  <si>
    <t>Fast food / Fried chicken / Nigerian sides</t>
  </si>
  <si>
    <t>Mixed local food spots</t>
  </si>
  <si>
    <t>Social Media Presence (IG,Tiktok Handles)</t>
  </si>
  <si>
    <t>Nigerian , Ofada rice specialist , Seafood Ofada , Local cuisine</t>
  </si>
  <si>
    <t>Event , Garden venue (occasional food,events)</t>
  </si>
  <si>
    <t>Lounge , Bar , Entertainment</t>
  </si>
  <si>
    <t>Cafe , Restaurant , Bar</t>
  </si>
  <si>
    <t>Cinema concessions , Snacks , Light meals</t>
  </si>
  <si>
    <t>Fast food , Fried chicken , Burgers</t>
  </si>
  <si>
    <t>Pizza , Fast casual</t>
  </si>
  <si>
    <t>Ice cream , Desserts</t>
  </si>
  <si>
    <t>Fast food , Fried chicken , Nigerian sides</t>
  </si>
  <si>
    <t>Nigerian , Continental , Casual dining</t>
  </si>
  <si>
    <t>Fast food , Fried chicken</t>
  </si>
  <si>
    <t>Fast food , Nigerian &amp; continental quick service</t>
  </si>
  <si>
    <t>Fast food , Burgers , Nigerian quick service</t>
  </si>
  <si>
    <t>Nigerian , Local , Casual</t>
  </si>
  <si>
    <t>Nigerian cuisine , Elegant casual dining</t>
  </si>
  <si>
    <t>Nigerian , Soups , Local cuisine</t>
  </si>
  <si>
    <t>Lounge , Bar , Nightlife</t>
  </si>
  <si>
    <t>Nightclub , Lounge</t>
  </si>
  <si>
    <t>Restaurant (likely Nigerian , casual)</t>
  </si>
  <si>
    <t>Stadium (match-day food vendors , concessions)</t>
  </si>
  <si>
    <t>Stadium (match-day , event food vendors)</t>
  </si>
  <si>
    <t>Private , Social club</t>
  </si>
  <si>
    <t>Lounge , Bar</t>
  </si>
  <si>
    <t>Barbecue , Grills</t>
  </si>
  <si>
    <t>Suya , Street grills</t>
  </si>
  <si>
    <t>Food court , Mixed fast casual</t>
  </si>
  <si>
    <t>Cafes , Light meals , Fast food nearby</t>
  </si>
  <si>
    <t>Surulere, Lagos (exact street limited in public sources)</t>
  </si>
  <si>
    <t>Surulere (event/garden venue)</t>
  </si>
  <si>
    <t>Surulere (limited public address)</t>
  </si>
  <si>
    <t>Filmhouse Cinemas, Surulere (Adeniran Ogunsanya / area)</t>
  </si>
  <si>
    <t>Bode Thomas area, Surulere, Lagos</t>
  </si>
  <si>
    <t>Surulere (specific branch; check Domino's locator)</t>
  </si>
  <si>
    <t>Surulere (specific branch)</t>
  </si>
  <si>
    <t>Surulere (multiple possible; Bode Thomas / area common)</t>
  </si>
  <si>
    <t>Surulere (The Place has multiple Lagos locations)</t>
  </si>
  <si>
    <t>Surulere / Lagos (Yellow Chilli has known locations)</t>
  </si>
  <si>
    <t>Surulere / Lagos (Jevinik known for Nigerian soups &amp; local)</t>
  </si>
  <si>
    <t>Teslim Balogun Stadium, Surulere, Lagos</t>
  </si>
  <si>
    <t>National Stadium, Surulere, Lagos</t>
  </si>
  <si>
    <t>Surulere / Lagos (Eko Club references)</t>
  </si>
  <si>
    <t>Along Bode Thomas, Surulere</t>
  </si>
  <si>
    <t>Along Masha Road, Surulere</t>
  </si>
  <si>
    <t>Leisure Mall, Surulere</t>
  </si>
  <si>
    <t>Along Adeniran Ogunsanya Street, Surulere</t>
  </si>
  <si>
    <t>Varies</t>
  </si>
  <si>
    <t>Restaurant / Contemporary</t>
  </si>
  <si>
    <t>Hotel/Residence restaurant</t>
  </si>
  <si>
    <t>Restaurant (possibly Mexican/Tex-Mex or continental)</t>
  </si>
  <si>
    <t>Restaurant within Ebonylife Place</t>
  </si>
  <si>
    <t>Hotel restaurant &amp; lounge (views)</t>
  </si>
  <si>
    <t>Restaurant (deli/contemporary)</t>
  </si>
  <si>
    <t>Chinese (hotel restaurant)</t>
  </si>
  <si>
    <t>Grill &amp; Lounge</t>
  </si>
  <si>
    <t>Upscale contemporary, lifestyle restaurant &amp; bar</t>
  </si>
  <si>
    <t>Tropical, Nigerian &amp; Continental, Sushi, Small plates, Cocktails</t>
  </si>
  <si>
    <t>Ice cream, Desserts, Frozen treats</t>
  </si>
  <si>
    <t>Restaurant, Lounge (contemporary)</t>
  </si>
  <si>
    <t>Restaurant, Bar (local/contemporary focus)</t>
  </si>
  <si>
    <t>Lebanese, Middle Eastern</t>
  </si>
  <si>
    <t>Restaurant, Lounge</t>
  </si>
  <si>
    <t>Attraction, Photo experience (possible light cafe)</t>
  </si>
  <si>
    <t>Restaurant, Event, Private dining style</t>
  </si>
  <si>
    <t>New African Cuisine, Brunch, Grill, Cocktails</t>
  </si>
  <si>
    <t>Restaurant, Lounge (slow dining concept)</t>
  </si>
  <si>
    <t>Contemporary, Fusion kitchen</t>
  </si>
  <si>
    <t>Modern African, Traditional Nigerian &amp; contemporary</t>
  </si>
  <si>
    <t>American, Burgers, Rock &amp; roll themed</t>
  </si>
  <si>
    <t>Restaurant, Cafe style</t>
  </si>
  <si>
    <t>Cafeteria, Casual Nigerian &amp; continental</t>
  </si>
  <si>
    <t>Contemporary kitchen, Restaurant</t>
  </si>
  <si>
    <t>Rooftop, High-floor restaurant &amp; lounge</t>
  </si>
  <si>
    <t>Italian, European (taverna style)</t>
  </si>
  <si>
    <t>Restaurant, Contemporary</t>
  </si>
  <si>
    <t>Cafe, Light meals, Floral-themed</t>
  </si>
  <si>
    <t>Steakhouse, Grills</t>
  </si>
  <si>
    <t>Pan-Asian, Japanese, Sushi, Dim sum, Contemporary Asian</t>
  </si>
  <si>
    <t>Beach resort dining, Multiple options</t>
  </si>
  <si>
    <t>French, European</t>
  </si>
  <si>
    <t>Nigerian, Cultural restaurant + arts centre</t>
  </si>
  <si>
    <t>Bakery, Pastries, Cafe</t>
  </si>
  <si>
    <t>Casual, Bungalow-style restaurant</t>
  </si>
  <si>
    <t>Bistro &amp; Grill, Continental &amp; grills</t>
  </si>
  <si>
    <t>Victoria Island, Ikoyi area;  exact branch</t>
  </si>
  <si>
    <t>Pizza, Casual Italian-style</t>
  </si>
  <si>
    <t>Afrobeat-themed restaurant, lounge, entertainment</t>
  </si>
  <si>
    <t>Japanese, Sushi, Teppanyaki, Noodles, Seafood</t>
  </si>
  <si>
    <t>French bakery, Cafe, Pastries, Light bistro</t>
  </si>
  <si>
    <t>Restaurant, Lounge, House concept</t>
  </si>
  <si>
    <t>Restaurant, Cafe inside mall</t>
  </si>
  <si>
    <t>Restro-lounge, Restaurant &amp; lounge hybrid</t>
  </si>
  <si>
    <t>Bubble tea, Specialty drinks, Light snacks</t>
  </si>
  <si>
    <t>Tex-Mex, Mexican-inspired (hotel)</t>
  </si>
  <si>
    <t>Eatery &amp; Social House, Casual + social</t>
  </si>
  <si>
    <t>Poolside dining/energy, cocktails, lifestyle destination, reservations recommended</t>
  </si>
  <si>
    <t>Poolside energy, music, dine-dip-dance, Wed–Sun from 5pm, reservations only</t>
  </si>
  <si>
    <t>Casual dessert spot</t>
  </si>
  <si>
    <t>Limited public details on special activities</t>
  </si>
  <si>
    <t>Limited public activity details</t>
  </si>
  <si>
    <t>Casual to mid-range Lebanese dining</t>
  </si>
  <si>
    <t>Limited public details</t>
  </si>
  <si>
    <t>Upside-down house photo ops, tourist attraction at Landmark</t>
  </si>
  <si>
    <t>RSVP / reservation-focused, intimate or event-oriented</t>
  </si>
  <si>
    <t>Brunch, garden/tapas-style options, vegan-friendly, indoor &amp; outdoor, reservations</t>
  </si>
  <si>
    <t>Buffet days (e.g. Tuesday mentioned historically), dine-in/takeout/delivery, 11am–9pm</t>
  </si>
  <si>
    <t>Rock memorabilia, occasional live music, tourist-friendly, Landmark Village location</t>
  </si>
  <si>
    <t>Quick-service / casual dining</t>
  </si>
  <si>
    <t>limited public details</t>
  </si>
  <si>
    <t>Elevated views, upscale dining/lounge atmosphere</t>
  </si>
  <si>
    <t>Classic Italian/European restaurant setting</t>
  </si>
  <si>
    <t>Cafe atmosphere, likely good for coffee, pastries, light bites</t>
  </si>
  <si>
    <t>Focus on steaks and grilled meats</t>
  </si>
  <si>
    <t>Fine dining, Yumcha/unlimited sushi options (weekday lunch historically), grill nights, high-end</t>
  </si>
  <si>
    <t>Beach access, resort facilities, leisure</t>
  </si>
  <si>
    <t>Classic French restaurant</t>
  </si>
  <si>
    <t>Art gallery, theatre/performances, cultural events, bookshop, Nigerian focus cuisine</t>
  </si>
  <si>
    <t>Fresh baked goods, coffee, light meals</t>
  </si>
  <si>
    <t>Residential/hotel-style dining</t>
  </si>
  <si>
    <t>Shared area with Salma’s; mid-range dining</t>
  </si>
  <si>
    <t>Relaxed setting</t>
  </si>
  <si>
    <t>Grill focus, bistro atmosphere</t>
  </si>
  <si>
    <t>Part of multi-venue complex (Ebonylife Place)</t>
  </si>
  <si>
    <t>Part of multi-venue complex</t>
  </si>
  <si>
    <t>Part of Ebonylife Place</t>
  </si>
  <si>
    <t>Music/Afrobeat vibe, likely nightlife or live elements within complex</t>
  </si>
  <si>
    <t>Bar component, evening vibe</t>
  </si>
  <si>
    <t>Authentic Japanese, consistent quality, full menu of sushi, salads, hot dishes</t>
  </si>
  <si>
    <t>Artisan breads, pastries, gelato, French-inspired light meals (sister to Ikoyi location)</t>
  </si>
  <si>
    <t>Intimate or residence-style dining</t>
  </si>
  <si>
    <t>Mall dining, convenient for shopping</t>
  </si>
  <si>
    <t>Elevated dining at Eko Hotel, lounge atmosphere, hotel guests + public</t>
  </si>
  <si>
    <t>Lounge component, evening-friendly</t>
  </si>
  <si>
    <t>Eko Hotel Chinese outlet</t>
  </si>
  <si>
    <t>Casual drink spot at Landmark</t>
  </si>
  <si>
    <t>Eko Hotel Tex-Mex outlet</t>
  </si>
  <si>
    <t>Social atmosphere, likely good for groups</t>
  </si>
  <si>
    <t>Grill focus + lounge, evening vibe</t>
  </si>
  <si>
    <t>10am-10pm</t>
  </si>
  <si>
    <t>Eko Hotel dining listings</t>
  </si>
  <si>
    <t>Bubble tea brand presence</t>
  </si>
  <si>
    <t>Limited public web data</t>
  </si>
  <si>
    <t>Eko Hotel dining outlets public info</t>
  </si>
  <si>
    <t>The Palms Mall location</t>
  </si>
  <si>
    <t>Maison Kayser official sites &amp; previous research</t>
  </si>
  <si>
    <t>theblowfishgroup.com, TripAdvisor, eatdrinklagos reviews, Instagram</t>
  </si>
  <si>
    <t>Name indicates restaurant + bar</t>
  </si>
  <si>
    <t>Name + Ebonylife Place</t>
  </si>
  <si>
    <t>Pizza concept + complex</t>
  </si>
  <si>
    <t>Ebonylife Place complex</t>
  </si>
  <si>
    <t>Ebonylife Place complex listings</t>
  </si>
  <si>
    <t>Public address listings</t>
  </si>
  <si>
    <t>Bakery concept</t>
  </si>
  <si>
    <t>Well-known cultural centre public info</t>
  </si>
  <si>
    <t>Name and VI fine-dining context</t>
  </si>
  <si>
    <t>Resort positioning</t>
  </si>
  <si>
    <t>TripAdvisor, Instagram, experienceshiro.com style listings, eatdrinklagos reviews</t>
  </si>
  <si>
    <t>Steakhouse positioning in VI</t>
  </si>
  <si>
    <t>Hard Rock Cafe brand standards + Landmark Village presence</t>
  </si>
  <si>
    <t>yellowchilling.com menu (prices visible); Instagram @yellowchilling</t>
  </si>
  <si>
    <t>Official nokbyalara.com menus; TripAdvisor; Instagram</t>
  </si>
  <si>
    <t>Landmark Village public listings</t>
  </si>
  <si>
    <t>bamboalagos.com menu, Instagram @bamboalagos, TikTok reviews</t>
  </si>
  <si>
    <t>Official site roralagos.com; Instagram &amp; public mentions of poolside vibe</t>
  </si>
  <si>
    <t>shugarden.com, Instagram @shugarden_vi, Hotels.com listings</t>
  </si>
  <si>
    <t>Instagram Posts</t>
  </si>
  <si>
    <t>Contemporary / Seafood, premium meats, vegetarian options, breakfast &amp; all-day</t>
  </si>
  <si>
    <t>Fine dining style, part of The Borough; open roughly 11am–late; reservations recommended</t>
  </si>
  <si>
    <t>Ice cream rolls / Specialty frozen desserts</t>
  </si>
  <si>
    <t>Sit-in, pickup, delivery; dessert-focused casual spot</t>
  </si>
  <si>
    <t>All-day brunch / Breakfast / Cafe-bar (American-style plates, pasta, vegetarian options)</t>
  </si>
  <si>
    <t>Brunch focus, cocktails/mocktails/milkshakes, intimate space, terrace vibes</t>
  </si>
  <si>
    <t>Afro-Moroccan / Continental &amp; fusion / Rooftop fine dining</t>
  </si>
  <si>
    <t>Rooftop restaurant &amp; lounge, open late (approx 1pm–3am), curated experience</t>
  </si>
  <si>
    <t>Restaurant &amp; Bar (contemporary / mixed)</t>
  </si>
  <si>
    <t>Emporium / Multi-concept (food + retail/lifestyle likely)</t>
  </si>
  <si>
    <t>Restaurant / Lounge (upscale casual)</t>
  </si>
  <si>
    <t>Beach club dining / Grilled seafood, Nigerian soul food, sharing platters, cocktails</t>
  </si>
  <si>
    <t>Beachside at Elegushi, open-flame grills, lounge, high-end beach experience, reservations advised</t>
  </si>
  <si>
    <t>Restaurant (shares area with Brunch Bar)</t>
  </si>
  <si>
    <t>Lounge / Bar &amp; dining</t>
  </si>
  <si>
    <t>Lounge atmosphere on Admiralty; evening-friendly</t>
  </si>
  <si>
    <t>Gourmet / Upscale casual dining</t>
  </si>
  <si>
    <t>Seafood / Steaks &amp; BBQ / Grills</t>
  </si>
  <si>
    <t>Seafood boats/platters, steaks, celebration-style dining</t>
  </si>
  <si>
    <t>Nigerian / Pounded yam specialist / Swallow, soups (seafood okro, pepper soup etc.)</t>
  </si>
  <si>
    <t>Freshly pounded yam focus, catering &amp; delivery available, near IMAX</t>
  </si>
  <si>
    <t>Nigerian / Pounded yam specialist / Swallow &amp; soups</t>
  </si>
  <si>
    <t>Second branch of Ilé Iyán, opposite Kingfisher/Marcopolo area</t>
  </si>
  <si>
    <t>Nigerian speciality / BBQ / Burgers &amp; sandwiches / Continental sides</t>
  </si>
  <si>
    <t>Restaurant &amp; bar, Nigerian dishes highlighted, delivery available</t>
  </si>
  <si>
    <t>Restaurant (shares street with Forno &amp; Maple)</t>
  </si>
  <si>
    <t>Part of multi-venue street cluster</t>
  </si>
  <si>
    <t>Pizza / Italian-inspired / Sips (drinks)</t>
  </si>
  <si>
    <t>Pizza &amp; drinks focused</t>
  </si>
  <si>
    <t>Restaurant / Cafe-style</t>
  </si>
  <si>
    <t>Shares street with Panu &amp; Forno</t>
  </si>
  <si>
    <t>Nigerian homemade / Fast-casual / Traditional dishes</t>
  </si>
  <si>
    <t>Home-made meals style, cooking classes offered, by Hilda Baci brand</t>
  </si>
  <si>
    <t>Comfort food / Local favourites / Some Asian-inspired items</t>
  </si>
  <si>
    <t>Reported 24/7 or extended hours in some mentions; diner-style</t>
  </si>
  <si>
    <t>Restaurant / Casual dining</t>
  </si>
  <si>
    <t>Restaurant (Nigerian or contemporary)</t>
  </si>
  <si>
    <t>Restaurant / Lounge on Admiralty</t>
  </si>
  <si>
    <t>Admiralty Way location; evening potential</t>
  </si>
  <si>
    <t>Restaurant / Cafe or storytelling concept</t>
  </si>
  <si>
    <t>French bakery / Cafe / Pastries / Light meals &amp; gelato</t>
  </si>
  <si>
    <t>Artisan breads, pastries, French-inspired (same brand as Ikoyi &amp; VI)</t>
  </si>
  <si>
    <t>Standard quick-service chain</t>
  </si>
  <si>
    <t>Bar component</t>
  </si>
  <si>
    <t>Lifestyle/emporium concept</t>
  </si>
  <si>
    <t>Gourmet positioning</t>
  </si>
  <si>
    <t>Bluewaters Scheme location</t>
  </si>
  <si>
    <t>+234 809 313 3330 / 08093133330; booking@theboroughlagos.com</t>
  </si>
  <si>
    <t>08093416457 / 07084784513 / 09030069121; info@kymabeachlagos.com</t>
  </si>
  <si>
    <t>08017388888 (mentioned in public posts)</t>
  </si>
  <si>
    <t>WhatsApp booking via site (wa.me links on official site)</t>
  </si>
  <si>
    <t>Same brand contact as Banire branch</t>
  </si>
  <si>
    <t>09160083337</t>
  </si>
  <si>
    <t>Brand contact via maison-kayser.com; specific Lekki phone limited in open results</t>
  </si>
  <si>
    <t>Chain customer service / locator on official site</t>
  </si>
  <si>
    <t>theboroughlagos.com, TripAdvisor, Facebook, 9jadirectory</t>
  </si>
  <si>
    <t>Instagram @frozenrollsng, TikTok reviews</t>
  </si>
  <si>
    <t>dineazi.com, Instagram, TikTok, eatdrinklagos mentions</t>
  </si>
  <si>
    <t>haven11.com, Instagram, TikTok, viewlagos.ng</t>
  </si>
  <si>
    <t>kymabeachlagos.com, Instagram @kymabeachlagos, menu site</t>
  </si>
  <si>
    <t>sharkhouse101.com, Instagram mentions, TikTok</t>
  </si>
  <si>
    <t>ileiyan.ng, Instagram @ileiyan_ng</t>
  </si>
  <si>
    <t>ileiyan.ng official locations</t>
  </si>
  <si>
    <t>terraform.restaurant, Instagram @terraformng</t>
  </si>
  <si>
    <t>Instagram @myfoodbyhilda, TikTok, tribune reports, dineazi</t>
  </si>
  <si>
    <t>TikTok @hellolagos.city, Instagram reviews</t>
  </si>
  <si>
    <t>Maison Kayser brand knowledge + previous research for other branches</t>
  </si>
  <si>
    <t>Chicken Republic chain standard</t>
  </si>
  <si>
    <t>Sports complex (campus food vendors)</t>
  </si>
  <si>
    <t>Mixed cluster – local canteens, suya, rice joints, student-friendly eateries</t>
  </si>
  <si>
    <t>Mixed – fast food, cafes, local joints, cinema concessions</t>
  </si>
  <si>
    <t>Mixed lounges &amp; bars (mainland nightlife)</t>
  </si>
  <si>
    <t>Cinema, Movie theatre (concessions: snacks, popcorn, drinks)</t>
  </si>
  <si>
    <t>Fast food, Fried chicken, Nigerian sides</t>
  </si>
  <si>
    <t>Restaurant, Casual dining</t>
  </si>
  <si>
    <t>Fast food, Fried chicken</t>
  </si>
  <si>
    <t>Open market, Street food, produce, cooked meals, suya, etc.</t>
  </si>
  <si>
    <t>Restaurant, Bar or lounge (name-based)</t>
  </si>
  <si>
    <t>Nigerian, Local cuisine (likely)</t>
  </si>
  <si>
    <t>Bar, Lounge</t>
  </si>
  <si>
    <t>Pizza, Fast casual</t>
  </si>
  <si>
    <t>Ice cream, Desserts</t>
  </si>
  <si>
    <t>Nigerian, Continental, Casual dining</t>
  </si>
  <si>
    <t>Cafe, Coffee, Pastries, Light meals, Afro-centric</t>
  </si>
  <si>
    <t>Nigerian, Local (bukka-style), Suya &amp; grills options</t>
  </si>
  <si>
    <t>Fast food, Burgers, Nigerian quick service</t>
  </si>
  <si>
    <t>Fast food, Nigerian &amp; continental quick service</t>
  </si>
  <si>
    <t>Suya, Grilled meat, Street-style</t>
  </si>
  <si>
    <t>Canteen, Local Nigerian meals</t>
  </si>
  <si>
    <t>Campus, Outdoor recreation (food vendors nearby)</t>
  </si>
  <si>
    <t>Sports facilities (food vendors, canteen on match or training days)</t>
  </si>
  <si>
    <t>Bakery, Pastries, Cakes, Snacks</t>
  </si>
  <si>
    <t>Nigerian, Local or fast-casual</t>
  </si>
  <si>
    <t>Food court, Market-style mixed vendors (local, fast, snacks)</t>
  </si>
  <si>
    <t>State-of-the-art digital cinema inside E-Centre mall; shopping, restaurants &amp; lounges in the same complex</t>
  </si>
  <si>
    <t>Quick-service inside or near E-Centre complex</t>
  </si>
  <si>
    <t>Serves student &amp; campus traffic</t>
  </si>
  <si>
    <t>Bustling traditional market; many informal food vendors</t>
  </si>
  <si>
    <t>Bar-focused; limited public details</t>
  </si>
  <si>
    <t>Delivery &amp; dine-in/takeaway; standard Domino’s menu</t>
  </si>
  <si>
    <t>Chain dessert spot</t>
  </si>
  <si>
    <t>Classic KFC; verify current operating status</t>
  </si>
  <si>
    <t>Multiple possible outlets in Yaba corridor</t>
  </si>
  <si>
    <t>Popular casual chain; dine-in &amp; delivery</t>
  </si>
  <si>
    <t>Chain quick-service</t>
  </si>
  <si>
    <t>Coffee &amp; light bites; chain has multiple Lagos outlets</t>
  </si>
  <si>
    <t>Taste-of-home Nigerian casual; part of Bukka Hut chain</t>
  </si>
  <si>
    <t>Classic Nigerian fast-food chain</t>
  </si>
  <si>
    <t>Chain pizza</t>
  </si>
  <si>
    <t>Popular local suya name; typical street/open-air setup</t>
  </si>
  <si>
    <t>Traditional canteen-style; verify current operations</t>
  </si>
  <si>
    <t>Scenic lagoon-front space on campus; student hangout, occasional events, informal food spots</t>
  </si>
  <si>
    <t>Campus sports complex; informal food around events</t>
  </si>
  <si>
    <t>Student sports &amp; recreation; informal food spots</t>
  </si>
  <si>
    <t>Bakery chain style; verify current Yaba presence</t>
  </si>
  <si>
    <t>Student-heavy area with many affordable food vendors</t>
  </si>
  <si>
    <t>High foot-traffic corridor with Ozone, Chicken Republic and other outlets</t>
  </si>
  <si>
    <t>Inside/around Tejuosho complex; affordable variety</t>
  </si>
  <si>
    <t>Scattered lounges rather than one single venue; evening focus</t>
  </si>
  <si>
    <t>Sabo Market, Yaba, Lagos</t>
  </si>
  <si>
    <t>282 Herbert Macaulay Way, Yaba (historical; some reports of status changes)</t>
  </si>
  <si>
    <t>393 Herbert Macaulay Way (St Agnes bus stop area), Yaba</t>
  </si>
  <si>
    <t>271 Herbert Macaulay Way, Yaba, Lagos</t>
  </si>
  <si>
    <t>University of Lagos Sports Centre, Akoka, Yaba</t>
  </si>
  <si>
    <t>Yaba College of Technology (YABATECH), Yaba</t>
  </si>
  <si>
    <t>Akoka area, Yaba, near UNILAG</t>
  </si>
  <si>
    <t>344 Herbert Macaulay Road (off Harvey Road, near St Agnes), Yaba</t>
  </si>
  <si>
    <t>University of Lagos (UNILAG), Akoka, Lagoon Front area</t>
  </si>
  <si>
    <t>Akoka, around UNILAG, Yaba</t>
  </si>
  <si>
    <t>Commercial Avenue, around E-Centre, Sabo, Yaba</t>
  </si>
  <si>
    <t>Tejuosho Shopping Complex, Market area, Yaba</t>
  </si>
  <si>
    <t>Yaba, Herbert Macaulay &amp; surrounding (various)</t>
  </si>
  <si>
    <t xml:space="preserve">Yaba, Herbert Macaulay or E-Centre area </t>
  </si>
  <si>
    <t>Old Yaba Road, Yaba</t>
  </si>
  <si>
    <t>Sabo, Yaba area</t>
  </si>
  <si>
    <t>Yaba area</t>
  </si>
  <si>
    <t>Café One Lagos</t>
  </si>
  <si>
    <t>Cafe, Coffee, Pastries, Light meals, Workspace, Office for Meetings</t>
  </si>
  <si>
    <t>Workspace</t>
  </si>
  <si>
    <t>Mobile App</t>
  </si>
  <si>
    <t>+234 906 710 6836; info@ozonecinemas.com</t>
  </si>
  <si>
    <t>0809 990 0636 / 0909 999 0633 (older public numbers; verify)</t>
  </si>
  <si>
    <t>+234 700 055 0055</t>
  </si>
  <si>
    <t>Instagram @sixtybycheflu, LinkedIn, event posts</t>
  </si>
  <si>
    <t>ozone.reachcinema.io, Instagram mentions</t>
  </si>
  <si>
    <t>Chicken Republic chain + E-Centre location</t>
  </si>
  <si>
    <t>Address from source list; limited open-web presence</t>
  </si>
  <si>
    <t>Chicken Republic chain</t>
  </si>
  <si>
    <t>Well-known public market</t>
  </si>
  <si>
    <t>Historical Domino’s posts &amp; directories (344 Herbert Macaulay)</t>
  </si>
  <si>
    <t>Cold Stone Creamery chain</t>
  </si>
  <si>
    <t>ofadaa.com, NgEX historical listings</t>
  </si>
  <si>
    <t>Waze, Instagram historical, Chowdeck, app.theplace.com.ng</t>
  </si>
  <si>
    <t>Tastee Fried Chicken chain</t>
  </si>
  <si>
    <t>Cafe Neo brand</t>
  </si>
  <si>
    <t>bukkahut.com contact page</t>
  </si>
  <si>
    <t>Mr Bigg’s chain</t>
  </si>
  <si>
    <t>Sweet Sensation chain</t>
  </si>
  <si>
    <t>Debonairs Pizza chain</t>
  </si>
  <si>
    <t>Local knowledge / common Yaba suya references</t>
  </si>
  <si>
    <t>Limited current public data</t>
  </si>
  <si>
    <t>Public UNILAG campus knowledge</t>
  </si>
  <si>
    <t>UNILAG public facilities</t>
  </si>
  <si>
    <t>YABATECH public knowledge</t>
  </si>
  <si>
    <t>Big Treat brand; limited specific Yaba confirmation</t>
  </si>
  <si>
    <t>Area cluster knowledge</t>
  </si>
  <si>
    <t>E-Centre &amp; Commercial Avenue public knowledge</t>
  </si>
  <si>
    <t>Tejuosho Market/Complex public knowledge</t>
  </si>
  <si>
    <t>Premium Dining</t>
  </si>
  <si>
    <t>Mon - Sun (8am - 2am)</t>
  </si>
  <si>
    <t>Instagram - placebolagos</t>
  </si>
  <si>
    <t>placebolagos@gmail.com, 09041695561</t>
  </si>
  <si>
    <t>20 minutes</t>
  </si>
  <si>
    <t>Lounge, Café, Restaurant</t>
  </si>
  <si>
    <t>Club, Boat Cruise, Dine-In, Take-Out</t>
  </si>
  <si>
    <t>07001000700</t>
  </si>
  <si>
    <t>Open 24/7</t>
  </si>
  <si>
    <t>Instagram - farmcity_lagos</t>
  </si>
  <si>
    <t>20-35 minutes</t>
  </si>
  <si>
    <t>Instagram posts and official page</t>
  </si>
  <si>
    <t>20-35minutes</t>
  </si>
  <si>
    <t>08121819222</t>
  </si>
  <si>
    <t>09163825313</t>
  </si>
  <si>
    <t>Farmcity Lagos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</si>
</sst>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3">
    <numFmt numFmtId="6" formatCode="&quot;₦&quot;#,##0;[Red]\-&quot;₦&quot;#,##0"/>
    <numFmt numFmtId="44" formatCode="_-&quot;₦&quot;* #,##0.00_-;\-&quot;₦&quot;* #,##0.00_-;_-&quot;₦&quot;* &quot;-&quot;??_-;_-@_-"/>
    <numFmt numFmtId="164" formatCode="&quot;$&quot;#,##0"/>
  </numFmts>
  <fonts count="12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theme="1"/>
      <name val="Calibri Light"/>
      <family val="2"/>
      <scheme val="major"/>
    </font>
    <font>
      <sz val="18"/>
      <color theme="1"/>
      <name val="Calibri Light"/>
      <family val="2"/>
      <scheme val="major"/>
    </font>
    <font>
      <sz val="12"/>
      <color theme="3" tint="-0.499984740745262"/>
      <name val="Calibri Light"/>
      <family val="2"/>
      <scheme val="major"/>
    </font>
    <font>
      <sz val="56"/>
      <color theme="1"/>
      <name val="Calibri Light"/>
      <family val="2"/>
      <scheme val="major"/>
    </font>
    <font>
      <sz val="56"/>
      <color theme="3" tint="-0.499984740745262"/>
      <name val="Calibri Light"/>
      <family val="2"/>
      <scheme val="major"/>
    </font>
    <font>
      <sz val="12"/>
      <color theme="3" tint="-0.499984740745262"/>
      <name val="Calibri"/>
      <family val="2"/>
      <scheme val="minor"/>
    </font>
    <font>
      <sz val="14"/>
      <color theme="1"/>
      <name val="Calibri"/>
      <family val="2"/>
      <scheme val="minor"/>
    </font>
    <font>
      <sz val="14"/>
      <color theme="1"/>
      <name val="Segoe UI"/>
      <family val="2"/>
    </font>
    <font>
      <sz val="14"/>
      <color theme="1"/>
      <name val="Aptos"/>
      <family val="2"/>
      <charset val="1"/>
    </font>
    <font>
      <sz val="11"/>
      <color rgb="FF00000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3" tint="0.79998168889431442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rgb="FFD6DCE4"/>
        <bgColor rgb="FF000000"/>
      </patternFill>
    </fill>
  </fills>
  <borders count="5">
    <border>
      <left/>
      <right/>
      <top/>
      <bottom/>
      <diagonal/>
    </border>
    <border>
      <left style="thin">
        <color theme="3" tint="0.39994506668294322"/>
      </left>
      <right/>
      <top style="thin">
        <color theme="3" tint="0.39994506668294322"/>
      </top>
      <bottom/>
      <diagonal/>
    </border>
    <border>
      <left/>
      <right/>
      <top style="thin">
        <color theme="3" tint="0.39994506668294322"/>
      </top>
      <bottom/>
      <diagonal/>
    </border>
    <border>
      <left/>
      <right style="thin">
        <color theme="3" tint="0.39994506668294322"/>
      </right>
      <top style="thin">
        <color theme="3" tint="0.39994506668294322"/>
      </top>
      <bottom/>
      <diagonal/>
    </border>
    <border>
      <left style="thin">
        <color rgb="FF8497B0"/>
      </left>
      <right style="thin">
        <color rgb="FF8497B0"/>
      </right>
      <top style="thin">
        <color rgb="FF8497B0"/>
      </top>
      <bottom style="thin">
        <color rgb="FF8497B0"/>
      </bottom>
      <diagonal/>
    </border>
  </borders>
  <cellStyleXfs count="1">
    <xf numFmtId="0" fontId="0" fillId="0" borderId="0"/>
  </cellStyleXfs>
  <cellXfs count="47">
    <xf numFmtId="0" fontId="0" fillId="0" borderId="0" xfId="0"/>
    <xf numFmtId="0" fontId="1" fillId="2" borderId="0" xfId="0" applyFont="1" applyFill="1"/>
    <xf numFmtId="0" fontId="1" fillId="2" borderId="0" xfId="0" applyFont="1" applyFill="1" applyAlignment="1">
      <alignment horizontal="left" indent="1"/>
    </xf>
    <xf numFmtId="49" fontId="1" fillId="2" borderId="0" xfId="0" applyNumberFormat="1" applyFont="1" applyFill="1"/>
    <xf numFmtId="0" fontId="1" fillId="0" borderId="0" xfId="0" applyFont="1"/>
    <xf numFmtId="0" fontId="2" fillId="2" borderId="0" xfId="0" applyFont="1" applyFill="1"/>
    <xf numFmtId="0" fontId="3" fillId="2" borderId="0" xfId="0" applyFont="1" applyFill="1" applyAlignment="1">
      <alignment horizontal="left" indent="2"/>
    </xf>
    <xf numFmtId="0" fontId="2" fillId="2" borderId="0" xfId="0" applyFont="1" applyFill="1" applyAlignment="1">
      <alignment horizontal="left" indent="1"/>
    </xf>
    <xf numFmtId="0" fontId="4" fillId="2" borderId="0" xfId="0" applyFont="1" applyFill="1"/>
    <xf numFmtId="49" fontId="4" fillId="2" borderId="0" xfId="0" applyNumberFormat="1" applyFont="1" applyFill="1"/>
    <xf numFmtId="0" fontId="2" fillId="0" borderId="0" xfId="0" applyFont="1"/>
    <xf numFmtId="0" fontId="5" fillId="2" borderId="0" xfId="0" applyFont="1" applyFill="1"/>
    <xf numFmtId="0" fontId="5" fillId="2" borderId="0" xfId="0" applyFont="1" applyFill="1" applyAlignment="1">
      <alignment horizontal="left" indent="1"/>
    </xf>
    <xf numFmtId="0" fontId="6" fillId="2" borderId="0" xfId="0" applyFont="1" applyFill="1"/>
    <xf numFmtId="49" fontId="6" fillId="2" borderId="0" xfId="0" applyNumberFormat="1" applyFont="1" applyFill="1"/>
    <xf numFmtId="0" fontId="5" fillId="0" borderId="0" xfId="0" applyFont="1"/>
    <xf numFmtId="0" fontId="2" fillId="2" borderId="0" xfId="0" applyFont="1" applyFill="1" applyAlignment="1">
      <alignment horizontal="left" vertical="top" indent="2"/>
    </xf>
    <xf numFmtId="0" fontId="7" fillId="3" borderId="1" xfId="0" applyFont="1" applyFill="1" applyBorder="1"/>
    <xf numFmtId="0" fontId="7" fillId="3" borderId="2" xfId="0" applyFont="1" applyFill="1" applyBorder="1" applyAlignment="1">
      <alignment horizontal="left" indent="1"/>
    </xf>
    <xf numFmtId="0" fontId="7" fillId="3" borderId="2" xfId="0" applyFont="1" applyFill="1" applyBorder="1"/>
    <xf numFmtId="49" fontId="7" fillId="3" borderId="2" xfId="0" applyNumberFormat="1" applyFont="1" applyFill="1" applyBorder="1"/>
    <xf numFmtId="49" fontId="7" fillId="3" borderId="3" xfId="0" applyNumberFormat="1" applyFont="1" applyFill="1" applyBorder="1"/>
    <xf numFmtId="0" fontId="8" fillId="2" borderId="0" xfId="0" applyFont="1" applyFill="1"/>
    <xf numFmtId="0" fontId="9" fillId="0" borderId="0" xfId="0" applyFont="1" applyAlignment="1" applyProtection="1">
      <alignment horizontal="left" vertical="center" wrapText="1" indent="1"/>
      <protection locked="0"/>
    </xf>
    <xf numFmtId="9" fontId="9" fillId="0" borderId="0" xfId="0" applyNumberFormat="1" applyFont="1" applyAlignment="1" applyProtection="1">
      <alignment horizontal="left" vertical="center" wrapText="1" indent="1"/>
      <protection locked="0"/>
    </xf>
    <xf numFmtId="49" fontId="9" fillId="0" borderId="0" xfId="0" applyNumberFormat="1" applyFont="1" applyAlignment="1" applyProtection="1">
      <alignment horizontal="left" vertical="center" wrapText="1" indent="1"/>
      <protection locked="0"/>
    </xf>
    <xf numFmtId="0" fontId="8" fillId="0" borderId="0" xfId="0" applyFont="1"/>
    <xf numFmtId="0" fontId="0" fillId="0" borderId="0" xfId="0" applyAlignment="1">
      <alignment horizontal="left" vertical="center" indent="1"/>
    </xf>
    <xf numFmtId="44" fontId="0" fillId="0" borderId="0" xfId="0" applyNumberFormat="1" applyAlignment="1">
      <alignment horizontal="left" vertical="center" indent="1"/>
    </xf>
    <xf numFmtId="16" fontId="0" fillId="0" borderId="0" xfId="0" applyNumberFormat="1" applyAlignment="1">
      <alignment horizontal="left" vertical="center" indent="1"/>
    </xf>
    <xf numFmtId="9" fontId="0" fillId="0" borderId="0" xfId="0" applyNumberFormat="1" applyAlignment="1">
      <alignment horizontal="left" vertical="center" indent="1"/>
    </xf>
    <xf numFmtId="49" fontId="0" fillId="0" borderId="0" xfId="0" applyNumberFormat="1" applyAlignment="1">
      <alignment horizontal="left" vertical="center" indent="1"/>
    </xf>
    <xf numFmtId="0" fontId="1" fillId="2" borderId="0" xfId="0" applyFont="1" applyFill="1" applyAlignment="1">
      <alignment horizontal="left" vertical="center" indent="1"/>
    </xf>
    <xf numFmtId="164" fontId="1" fillId="2" borderId="0" xfId="0" applyNumberFormat="1" applyFont="1" applyFill="1" applyAlignment="1">
      <alignment horizontal="left" vertical="center" indent="1"/>
    </xf>
    <xf numFmtId="9" fontId="1" fillId="2" borderId="0" xfId="0" applyNumberFormat="1" applyFont="1" applyFill="1" applyAlignment="1">
      <alignment horizontal="left" vertical="center" indent="1"/>
    </xf>
    <xf numFmtId="49" fontId="1" fillId="2" borderId="0" xfId="0" applyNumberFormat="1" applyFont="1" applyFill="1" applyAlignment="1">
      <alignment horizontal="left" vertical="center" indent="1"/>
    </xf>
    <xf numFmtId="49" fontId="1" fillId="0" borderId="0" xfId="0" applyNumberFormat="1" applyFont="1" applyAlignment="1">
      <alignment horizontal="left" vertical="center" indent="1"/>
    </xf>
    <xf numFmtId="49" fontId="0" fillId="0" borderId="0" xfId="0" applyNumberFormat="1"/>
    <xf numFmtId="0" fontId="5" fillId="2" borderId="0" xfId="0" applyFont="1" applyFill="1" applyAlignment="1">
      <alignment horizontal="left" vertical="center"/>
    </xf>
    <xf numFmtId="0" fontId="0" fillId="0" borderId="0" xfId="0" applyNumberFormat="1" applyAlignment="1">
      <alignment horizontal="left" vertical="center" indent="1"/>
    </xf>
    <xf numFmtId="49" fontId="1" fillId="2" borderId="0" xfId="0" applyNumberFormat="1" applyFont="1" applyFill="1" applyAlignment="1">
      <alignment horizontal="left" indent="1"/>
    </xf>
    <xf numFmtId="49" fontId="2" fillId="2" borderId="0" xfId="0" applyNumberFormat="1" applyFont="1" applyFill="1" applyAlignment="1">
      <alignment horizontal="left" indent="1"/>
    </xf>
    <xf numFmtId="49" fontId="7" fillId="3" borderId="2" xfId="0" applyNumberFormat="1" applyFont="1" applyFill="1" applyBorder="1" applyAlignment="1">
      <alignment horizontal="left" indent="1"/>
    </xf>
    <xf numFmtId="6" fontId="0" fillId="0" borderId="0" xfId="0" applyNumberFormat="1" applyAlignment="1">
      <alignment horizontal="left" vertical="center" indent="1"/>
    </xf>
    <xf numFmtId="6" fontId="0" fillId="0" borderId="0" xfId="0" applyNumberFormat="1"/>
    <xf numFmtId="6" fontId="1" fillId="2" borderId="0" xfId="0" applyNumberFormat="1" applyFont="1" applyFill="1" applyAlignment="1">
      <alignment horizontal="left" vertical="center" indent="1"/>
    </xf>
    <xf numFmtId="0" fontId="11" fillId="4" borderId="4" xfId="0" applyFont="1" applyFill="1" applyBorder="1" applyAlignment="1">
      <alignment horizontal="left" vertical="center" indent="1"/>
    </xf>
  </cellXfs>
  <cellStyles count="1">
    <cellStyle name="Normal" xfId="0" builtinId="0"/>
  </cellStyles>
  <dxfs count="65">
    <dxf>
      <numFmt numFmtId="34" formatCode="_-&quot;₦&quot;* #,##0.00_-;\-&quot;₦&quot;* #,##0.00_-;_-&quot;₦&quot;* &quot;-&quot;??_-;_-@_-"/>
      <alignment horizontal="left" vertical="center" textRotation="0" wrapText="0" indent="1" justifyLastLine="0" shrinkToFit="0" readingOrder="0"/>
    </dxf>
    <dxf>
      <numFmt numFmtId="34" formatCode="_-&quot;₦&quot;* #,##0.00_-;\-&quot;₦&quot;* #,##0.00_-;_-&quot;₦&quot;* &quot;-&quot;??_-;_-@_-"/>
      <alignment horizontal="left" vertical="center" textRotation="0" wrapText="0" indent="1" justifyLastLine="0" shrinkToFit="0" readingOrder="0"/>
    </dxf>
    <dxf>
      <numFmt numFmtId="10" formatCode="&quot;₦&quot;#,##0;[Red]\-&quot;₦&quot;#,##0"/>
      <alignment horizontal="left" vertical="center" textRotation="0" wrapText="0" indent="1" justifyLastLine="0" shrinkToFit="0" readingOrder="0"/>
    </dxf>
    <dxf>
      <numFmt numFmtId="0" formatCode="General"/>
      <alignment horizontal="left" vertical="center" textRotation="0" wrapText="0" indent="1" justifyLastLine="0" shrinkToFit="0" readingOrder="0"/>
    </dxf>
    <dxf>
      <numFmt numFmtId="0" formatCode="General"/>
      <alignment horizontal="left" vertical="center" textRotation="0" wrapText="0" indent="1" justifyLastLine="0" shrinkToFit="0" readingOrder="0"/>
    </dxf>
    <dxf>
      <numFmt numFmtId="0" formatCode="General"/>
    </dxf>
    <dxf>
      <numFmt numFmtId="34" formatCode="_-&quot;₦&quot;* #,##0.00_-;\-&quot;₦&quot;* #,##0.00_-;_-&quot;₦&quot;* &quot;-&quot;??_-;_-@_-"/>
      <alignment horizontal="left" vertical="center" textRotation="0" wrapText="0" indent="1" justifyLastLine="0" shrinkToFit="0" readingOrder="0"/>
    </dxf>
    <dxf>
      <numFmt numFmtId="10" formatCode="&quot;₦&quot;#,##0;[Red]\-&quot;₦&quot;#,##0"/>
      <alignment horizontal="left" vertical="center" textRotation="0" wrapText="0" indent="1" justifyLastLine="0" shrinkToFit="0" readingOrder="0"/>
    </dxf>
    <dxf>
      <numFmt numFmtId="34" formatCode="_-&quot;₦&quot;* #,##0.00_-;\-&quot;₦&quot;* #,##0.00_-;_-&quot;₦&quot;* &quot;-&quot;??_-;_-@_-"/>
      <alignment horizontal="left" vertical="center" textRotation="0" wrapText="0" indent="1" justifyLastLine="0" shrinkToFit="0" readingOrder="0"/>
    </dxf>
    <dxf>
      <font>
        <sz val="12"/>
      </font>
      <numFmt numFmtId="34" formatCode="_-&quot;₦&quot;* #,##0.00_-;\-&quot;₦&quot;* #,##0.00_-;_-&quot;₦&quot;* &quot;-&quot;??_-;_-@_-"/>
      <fill>
        <patternFill patternType="solid">
          <fgColor indexed="64"/>
          <bgColor theme="3" tint="0.79998168889431442"/>
        </patternFill>
      </fill>
      <alignment horizontal="left" vertical="center" textRotation="0" wrapText="0" indent="1" justifyLastLine="0" shrinkToFit="0" readingOrder="0"/>
    </dxf>
    <dxf>
      <numFmt numFmtId="34" formatCode="_-&quot;₦&quot;* #,##0.00_-;\-&quot;₦&quot;* #,##0.00_-;_-&quot;₦&quot;* &quot;-&quot;??_-;_-@_-"/>
      <alignment horizontal="left" vertical="center" textRotation="0" wrapText="0" indent="1" justifyLastLine="0" shrinkToFit="0" readingOrder="0"/>
    </dxf>
    <dxf>
      <numFmt numFmtId="30" formatCode="@"/>
    </dxf>
    <dxf>
      <alignment horizontal="left" vertical="center" textRotation="0" wrapText="0" indent="1" justifyLastLine="0" shrinkToFit="0" readingOrder="0"/>
    </dxf>
    <dxf>
      <numFmt numFmtId="34" formatCode="_-&quot;₦&quot;* #,##0.00_-;\-&quot;₦&quot;* #,##0.00_-;_-&quot;₦&quot;* &quot;-&quot;??_-;_-@_-"/>
      <alignment horizontal="left" vertical="center" textRotation="0" wrapText="0" indent="1" justifyLastLine="0" shrinkToFit="0" readingOrder="0"/>
    </dxf>
    <dxf>
      <alignment horizontal="left" vertical="center" textRotation="0" wrapText="0" indent="1" justifyLastLine="0" shrinkToFit="0" readingOrder="0"/>
    </dxf>
    <dxf>
      <numFmt numFmtId="30" formatCode="@"/>
      <fill>
        <patternFill patternType="none">
          <fgColor indexed="64"/>
          <bgColor indexed="65"/>
        </patternFill>
      </fill>
      <alignment horizontal="left" vertical="center" textRotation="0" wrapText="0" indent="1" justifyLastLine="0" shrinkToFit="0" readingOrder="0"/>
    </dxf>
    <dxf>
      <numFmt numFmtId="30" formatCode="@"/>
    </dxf>
    <dxf>
      <numFmt numFmtId="30" formatCode="@"/>
      <alignment horizontal="left" vertical="center" textRotation="0" wrapText="0" indent="1" justifyLastLine="0" shrinkToFit="0" readingOrder="0"/>
    </dxf>
    <dxf>
      <numFmt numFmtId="34" formatCode="_-&quot;₦&quot;* #,##0.00_-;\-&quot;₦&quot;* #,##0.00_-;_-&quot;₦&quot;* &quot;-&quot;??_-;_-@_-"/>
    </dxf>
    <dxf>
      <alignment horizontal="left" vertical="center" textRotation="0" wrapText="0" indent="1" justifyLastLine="0" shrinkToFit="0" readingOrder="0"/>
    </dxf>
    <dxf>
      <alignment horizontal="left" vertical="center" textRotation="0" wrapText="0" indent="1" justifyLastLine="0" shrinkToFit="0" readingOrder="0"/>
    </dxf>
    <dxf>
      <font>
        <strike val="0"/>
        <outline val="0"/>
        <shadow val="0"/>
        <u val="none"/>
        <vertAlign val="baseline"/>
        <sz val="14"/>
        <color theme="1"/>
        <name val="Segoe UI"/>
        <family val="2"/>
      </font>
      <alignment horizontal="left" vertical="center" textRotation="0" wrapText="1" indent="1" justifyLastLine="0" shrinkToFit="0" readingOrder="0"/>
    </dxf>
    <dxf>
      <numFmt numFmtId="30" formatCode="@"/>
      <fill>
        <patternFill patternType="none">
          <fgColor indexed="64"/>
          <bgColor indexed="65"/>
        </patternFill>
      </fill>
      <alignment horizontal="left" vertical="center" textRotation="0" wrapText="0" indent="1" justifyLastLine="0" shrinkToFit="0" readingOrder="0"/>
    </dxf>
    <dxf>
      <numFmt numFmtId="30" formatCode="@"/>
    </dxf>
    <dxf>
      <numFmt numFmtId="30" formatCode="@"/>
      <alignment horizontal="left" vertical="center" textRotation="0" wrapText="0" indent="1" justifyLastLine="0" shrinkToFit="0" readingOrder="0"/>
    </dxf>
    <dxf>
      <font>
        <strike val="0"/>
        <outline val="0"/>
        <shadow val="0"/>
        <u val="none"/>
        <vertAlign val="baseline"/>
        <sz val="14"/>
        <color theme="1"/>
        <name val="Segoe UI"/>
        <family val="2"/>
      </font>
      <alignment horizontal="left" vertical="center" textRotation="0" wrapText="1" indent="1" justifyLastLine="0" shrinkToFit="0" readingOrder="0"/>
    </dxf>
    <dxf>
      <numFmt numFmtId="30" formatCode="@"/>
      <fill>
        <patternFill patternType="none">
          <fgColor indexed="64"/>
          <bgColor indexed="65"/>
        </patternFill>
      </fill>
      <alignment horizontal="left" vertical="center" textRotation="0" wrapText="0" indent="1" justifyLastLine="0" shrinkToFit="0" readingOrder="0"/>
    </dxf>
    <dxf>
      <numFmt numFmtId="30" formatCode="@"/>
    </dxf>
    <dxf>
      <numFmt numFmtId="30" formatCode="@"/>
      <alignment horizontal="left" vertical="center" textRotation="0" wrapText="0" indent="1" justifyLastLine="0" shrinkToFit="0" readingOrder="0"/>
    </dxf>
    <dxf>
      <numFmt numFmtId="34" formatCode="_-&quot;₦&quot;* #,##0.00_-;\-&quot;₦&quot;* #,##0.00_-;_-&quot;₦&quot;* &quot;-&quot;??_-;_-@_-"/>
    </dxf>
    <dxf>
      <alignment horizontal="left" vertical="center" textRotation="0" wrapText="0" indent="1" justifyLastLine="0" shrinkToFit="0" readingOrder="0"/>
    </dxf>
    <dxf>
      <alignment horizontal="left" vertical="center" textRotation="0" wrapText="0" indent="1" justifyLastLine="0" shrinkToFit="0" readingOrder="0"/>
    </dxf>
    <dxf>
      <font>
        <strike val="0"/>
        <outline val="0"/>
        <shadow val="0"/>
        <u val="none"/>
        <vertAlign val="baseline"/>
        <sz val="14"/>
        <color theme="1"/>
        <name val="Segoe UI"/>
        <family val="2"/>
      </font>
      <alignment horizontal="left" vertical="center" textRotation="0" wrapText="1" indent="1" justifyLastLine="0" shrinkToFit="0" readingOrder="0"/>
    </dxf>
    <dxf>
      <numFmt numFmtId="30" formatCode="@"/>
      <fill>
        <patternFill patternType="none">
          <fgColor indexed="64"/>
          <bgColor indexed="65"/>
        </patternFill>
      </fill>
      <alignment horizontal="left" vertical="center" textRotation="0" wrapText="0" indent="1" justifyLastLine="0" shrinkToFit="0" readingOrder="0"/>
    </dxf>
    <dxf>
      <numFmt numFmtId="30" formatCode="@"/>
    </dxf>
    <dxf>
      <numFmt numFmtId="30" formatCode="@"/>
      <alignment horizontal="left" vertical="center" textRotation="0" wrapText="0" indent="1" justifyLastLine="0" shrinkToFit="0" readingOrder="0"/>
    </dxf>
    <dxf>
      <alignment horizontal="left" vertical="center" textRotation="0" wrapText="0" indent="1" justifyLastLine="0" shrinkToFit="0" readingOrder="0"/>
    </dxf>
    <dxf>
      <alignment horizontal="left" vertical="center" textRotation="0" wrapText="0" indent="1" justifyLastLine="0" shrinkToFit="0" readingOrder="0"/>
    </dxf>
    <dxf>
      <alignment horizontal="left" vertical="center" textRotation="0" wrapText="0" indent="1" justifyLastLine="0" shrinkToFit="0" readingOrder="0"/>
    </dxf>
    <dxf>
      <alignment horizontal="left" vertical="center" textRotation="0" wrapText="0" indent="1" justifyLastLine="0" shrinkToFit="0" readingOrder="0"/>
    </dxf>
    <dxf>
      <font>
        <strike val="0"/>
        <outline val="0"/>
        <shadow val="0"/>
        <u val="none"/>
        <vertAlign val="baseline"/>
        <sz val="14"/>
        <color theme="1"/>
        <name val="Segoe UI"/>
        <family val="2"/>
      </font>
      <alignment horizontal="left" vertical="center" textRotation="0" wrapText="1" indent="1" justifyLastLine="0" shrinkToFit="0" readingOrder="0"/>
    </dxf>
    <dxf>
      <numFmt numFmtId="30" formatCode="@"/>
      <fill>
        <patternFill patternType="none">
          <fgColor indexed="64"/>
          <bgColor indexed="65"/>
        </patternFill>
      </fill>
      <alignment horizontal="left" vertical="center" textRotation="0" wrapText="0" indent="1" justifyLastLine="0" shrinkToFit="0" readingOrder="0"/>
    </dxf>
    <dxf>
      <numFmt numFmtId="30" formatCode="@"/>
    </dxf>
    <dxf>
      <numFmt numFmtId="30" formatCode="@"/>
      <alignment horizontal="left" vertical="center" textRotation="0" wrapText="0" indent="1" justifyLastLine="0" shrinkToFit="0" readingOrder="0"/>
    </dxf>
    <dxf>
      <alignment horizontal="left" vertical="center" textRotation="0" wrapText="0" indent="1" justifyLastLine="0" shrinkToFit="0" readingOrder="0"/>
    </dxf>
    <dxf>
      <font>
        <strike val="0"/>
        <outline val="0"/>
        <shadow val="0"/>
        <u val="none"/>
        <vertAlign val="baseline"/>
        <sz val="14"/>
        <color theme="1"/>
        <name val="Segoe UI"/>
        <family val="2"/>
      </font>
      <alignment horizontal="left" vertical="center" textRotation="0" wrapText="1" indent="1" justifyLastLine="0" shrinkToFit="0" readingOrder="0"/>
    </dxf>
    <dxf>
      <numFmt numFmtId="30" formatCode="@"/>
      <fill>
        <patternFill patternType="none">
          <fgColor indexed="64"/>
          <bgColor indexed="65"/>
        </patternFill>
      </fill>
      <alignment horizontal="left" vertical="center" textRotation="0" wrapText="0" indent="1" justifyLastLine="0" shrinkToFit="0" readingOrder="0"/>
    </dxf>
    <dxf>
      <numFmt numFmtId="30" formatCode="@"/>
    </dxf>
    <dxf>
      <numFmt numFmtId="30" formatCode="@"/>
      <alignment horizontal="left" vertical="center" textRotation="0" wrapText="0" indent="1" justifyLastLine="0" shrinkToFit="0" readingOrder="0"/>
    </dxf>
    <dxf>
      <alignment horizontal="left" vertical="center" textRotation="0" wrapText="0" indent="1" justifyLastLine="0" shrinkToFit="0" readingOrder="0"/>
    </dxf>
    <dxf>
      <alignment horizontal="left" vertical="center" textRotation="0" wrapText="0" indent="1" justifyLastLine="0" shrinkToFit="0" readingOrder="0"/>
    </dxf>
    <dxf>
      <font>
        <strike val="0"/>
        <outline val="0"/>
        <shadow val="0"/>
        <u val="none"/>
        <vertAlign val="baseline"/>
        <sz val="14"/>
        <color theme="1"/>
        <name val="Segoe UI"/>
        <family val="2"/>
      </font>
      <alignment horizontal="left" vertical="center" textRotation="0" wrapText="1" indent="1" justifyLastLine="0" shrinkToFit="0" readingOrder="0"/>
    </dxf>
    <dxf>
      <numFmt numFmtId="30" formatCode="@"/>
      <fill>
        <patternFill patternType="none">
          <fgColor indexed="64"/>
          <bgColor indexed="65"/>
        </patternFill>
      </fill>
      <alignment horizontal="left" vertical="center" textRotation="0" wrapText="0" indent="1" justifyLastLine="0" shrinkToFit="0" readingOrder="0"/>
    </dxf>
    <dxf>
      <numFmt numFmtId="30" formatCode="@"/>
    </dxf>
    <dxf>
      <numFmt numFmtId="30" formatCode="@"/>
      <alignment horizontal="left" vertical="center" textRotation="0" wrapText="0" indent="1" justifyLastLine="0" shrinkToFit="0" readingOrder="0"/>
    </dxf>
    <dxf>
      <numFmt numFmtId="34" formatCode="_-&quot;₦&quot;* #,##0.00_-;\-&quot;₦&quot;* #,##0.00_-;_-&quot;₦&quot;* &quot;-&quot;??_-;_-@_-"/>
    </dxf>
    <dxf>
      <alignment horizontal="left" vertical="center" textRotation="0" wrapText="0" indent="1" justifyLastLine="0" shrinkToFit="0" readingOrder="0"/>
    </dxf>
    <dxf>
      <alignment horizontal="left" vertical="center" textRotation="0" wrapText="0" indent="1" justifyLastLine="0" shrinkToFit="0" readingOrder="0"/>
    </dxf>
    <dxf>
      <font>
        <strike val="0"/>
        <outline val="0"/>
        <shadow val="0"/>
        <u val="none"/>
        <vertAlign val="baseline"/>
        <sz val="14"/>
        <color theme="1"/>
        <name val="Segoe UI"/>
        <family val="2"/>
      </font>
      <alignment horizontal="left" vertical="center" textRotation="0" wrapText="1" indent="1" justifyLastLine="0" shrinkToFit="0" readingOrder="0"/>
    </dxf>
    <dxf>
      <fill>
        <patternFill>
          <bgColor theme="3" tint="0.59996337778862885"/>
        </patternFill>
      </fill>
    </dxf>
    <dxf>
      <font>
        <b/>
        <i val="0"/>
        <strike val="0"/>
        <color auto="1"/>
      </font>
      <fill>
        <patternFill>
          <bgColor theme="3"/>
        </patternFill>
      </fill>
      <border>
        <left style="thin">
          <color theme="3"/>
        </left>
        <right style="thin">
          <color theme="3"/>
        </right>
        <top style="thin">
          <color theme="3"/>
        </top>
        <bottom style="thin">
          <color theme="3"/>
        </bottom>
        <vertical style="thin">
          <color theme="3" tint="0.59996337778862885"/>
        </vertical>
        <horizontal style="thin">
          <color theme="3"/>
        </horizontal>
      </border>
    </dxf>
    <dxf>
      <fill>
        <patternFill>
          <bgColor theme="3" tint="0.79998168889431442"/>
        </patternFill>
      </fill>
      <border>
        <left style="thin">
          <color theme="3" tint="0.39994506668294322"/>
        </left>
        <right style="thin">
          <color theme="3" tint="0.39994506668294322"/>
        </right>
        <top style="thin">
          <color theme="3" tint="0.39994506668294322"/>
        </top>
        <bottom style="thin">
          <color theme="3" tint="0.39994506668294322"/>
        </bottom>
        <vertical style="thin">
          <color theme="3" tint="0.39994506668294322"/>
        </vertical>
        <horizontal style="thin">
          <color theme="3" tint="0.39994506668294322"/>
        </horizontal>
      </border>
    </dxf>
    <dxf>
      <fill>
        <patternFill>
          <bgColor theme="3" tint="0.59996337778862885"/>
        </patternFill>
      </fill>
    </dxf>
    <dxf>
      <font>
        <b/>
        <i val="0"/>
        <strike val="0"/>
        <color auto="1"/>
      </font>
      <fill>
        <patternFill>
          <bgColor theme="3"/>
        </patternFill>
      </fill>
      <border>
        <left style="thin">
          <color theme="3"/>
        </left>
        <right style="thin">
          <color theme="3"/>
        </right>
        <top style="thin">
          <color theme="3"/>
        </top>
        <bottom style="thin">
          <color theme="3"/>
        </bottom>
        <vertical style="thin">
          <color theme="3" tint="0.59996337778862885"/>
        </vertical>
        <horizontal style="thin">
          <color theme="3"/>
        </horizontal>
      </border>
    </dxf>
    <dxf>
      <fill>
        <patternFill>
          <bgColor theme="3" tint="0.79998168889431442"/>
        </patternFill>
      </fill>
      <border>
        <left style="thin">
          <color theme="3" tint="0.39994506668294322"/>
        </left>
        <right style="thin">
          <color theme="3" tint="0.39994506668294322"/>
        </right>
        <top style="thin">
          <color theme="3" tint="0.39994506668294322"/>
        </top>
        <bottom style="thin">
          <color theme="3" tint="0.39994506668294322"/>
        </bottom>
        <vertical style="thin">
          <color theme="3" tint="0.39994506668294322"/>
        </vertical>
        <horizontal style="thin">
          <color theme="3" tint="0.39994506668294322"/>
        </horizontal>
      </border>
    </dxf>
  </dxfs>
  <tableStyles count="2" defaultTableStyle="TableStyleMedium2" defaultPivotStyle="PivotStyleLight16">
    <tableStyle name="Business Table" pivot="0" count="3" xr9:uid="{A2190D21-C31C-42B4-B641-64C7FC5AC8DC}">
      <tableStyleElement type="wholeTable" dxfId="64"/>
      <tableStyleElement type="headerRow" dxfId="63"/>
      <tableStyleElement type="firstRowStripe" dxfId="62"/>
    </tableStyle>
    <tableStyle name="Business Table 2" pivot="0" count="3" xr9:uid="{BA5229C7-E554-4E0E-90D3-F41941DF7059}">
      <tableStyleElement type="wholeTable" dxfId="61"/>
      <tableStyleElement type="headerRow" dxfId="60"/>
      <tableStyleElement type="firstRowStripe" dxfId="59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1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externalLink" Target="externalLinks/externalLink3.xml"/><Relationship Id="rId4" Type="http://schemas.openxmlformats.org/officeDocument/2006/relationships/worksheet" Target="worksheets/sheet4.xml"/><Relationship Id="rId9" Type="http://schemas.openxmlformats.org/officeDocument/2006/relationships/externalLink" Target="externalLinks/externalLink2.xml"/><Relationship Id="rId14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sv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svg"/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svg"/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svg"/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svg"/><Relationship Id="rId1" Type="http://schemas.openxmlformats.org/officeDocument/2006/relationships/image" Target="../media/image1.png"/></Relationships>
</file>

<file path=xl/drawings/_rels/drawing6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svg"/><Relationship Id="rId1" Type="http://schemas.openxmlformats.org/officeDocument/2006/relationships/image" Target="../media/image1.png"/></Relationships>
</file>

<file path=xl/drawings/_rels/drawing7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sv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1135743</xdr:colOff>
      <xdr:row>0</xdr:row>
      <xdr:rowOff>5755</xdr:rowOff>
    </xdr:from>
    <xdr:to>
      <xdr:col>5</xdr:col>
      <xdr:colOff>2146112</xdr:colOff>
      <xdr:row>3</xdr:row>
      <xdr:rowOff>203200</xdr:rowOff>
    </xdr:to>
    <xdr:pic>
      <xdr:nvPicPr>
        <xdr:cNvPr id="2" name="Graphic 1">
          <a:extLst>
            <a:ext uri="{FF2B5EF4-FFF2-40B4-BE49-F238E27FC236}">
              <a16:creationId xmlns:a16="http://schemas.microsoft.com/office/drawing/2014/main" id="{31CC05F2-8B09-4697-B695-060429C1193D}"/>
            </a:ext>
            <a:ext uri="{C183D7F6-B498-43B3-948B-1728B52AA6E4}">
              <adec:decorative xmlns:adec="http://schemas.microsoft.com/office/drawing/2017/decorative" val="1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9060543" y="5755"/>
          <a:ext cx="6446764" cy="183574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1135743</xdr:colOff>
      <xdr:row>0</xdr:row>
      <xdr:rowOff>5755</xdr:rowOff>
    </xdr:from>
    <xdr:to>
      <xdr:col>6</xdr:col>
      <xdr:colOff>955488</xdr:colOff>
      <xdr:row>3</xdr:row>
      <xdr:rowOff>203200</xdr:rowOff>
    </xdr:to>
    <xdr:pic>
      <xdr:nvPicPr>
        <xdr:cNvPr id="2" name="Graphic 1">
          <a:extLst>
            <a:ext uri="{FF2B5EF4-FFF2-40B4-BE49-F238E27FC236}">
              <a16:creationId xmlns:a16="http://schemas.microsoft.com/office/drawing/2014/main" id="{58856F41-A9FC-4A20-9740-03687CC561DA}"/>
            </a:ext>
            <a:ext uri="{C183D7F6-B498-43B3-948B-1728B52AA6E4}">
              <adec:decorative xmlns:adec="http://schemas.microsoft.com/office/drawing/2017/decorative" val="1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9603468" y="5755"/>
          <a:ext cx="6449145" cy="1835745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1135743</xdr:colOff>
      <xdr:row>0</xdr:row>
      <xdr:rowOff>5755</xdr:rowOff>
    </xdr:from>
    <xdr:to>
      <xdr:col>6</xdr:col>
      <xdr:colOff>1217425</xdr:colOff>
      <xdr:row>3</xdr:row>
      <xdr:rowOff>203200</xdr:rowOff>
    </xdr:to>
    <xdr:pic>
      <xdr:nvPicPr>
        <xdr:cNvPr id="2" name="Graphic 1">
          <a:extLst>
            <a:ext uri="{FF2B5EF4-FFF2-40B4-BE49-F238E27FC236}">
              <a16:creationId xmlns:a16="http://schemas.microsoft.com/office/drawing/2014/main" id="{647D0789-89F4-4AA3-A635-55CCC90E1304}"/>
            </a:ext>
            <a:ext uri="{C183D7F6-B498-43B3-948B-1728B52AA6E4}">
              <adec:decorative xmlns:adec="http://schemas.microsoft.com/office/drawing/2017/decorative" val="1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9603468" y="5755"/>
          <a:ext cx="6449145" cy="1835745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1135743</xdr:colOff>
      <xdr:row>0</xdr:row>
      <xdr:rowOff>5755</xdr:rowOff>
    </xdr:from>
    <xdr:to>
      <xdr:col>6</xdr:col>
      <xdr:colOff>753082</xdr:colOff>
      <xdr:row>3</xdr:row>
      <xdr:rowOff>203200</xdr:rowOff>
    </xdr:to>
    <xdr:pic>
      <xdr:nvPicPr>
        <xdr:cNvPr id="2" name="Graphic 1">
          <a:extLst>
            <a:ext uri="{FF2B5EF4-FFF2-40B4-BE49-F238E27FC236}">
              <a16:creationId xmlns:a16="http://schemas.microsoft.com/office/drawing/2014/main" id="{49661095-754B-4716-A39E-E44545B83B65}"/>
            </a:ext>
            <a:ext uri="{C183D7F6-B498-43B3-948B-1728B52AA6E4}">
              <adec:decorative xmlns:adec="http://schemas.microsoft.com/office/drawing/2017/decorative" val="1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9603468" y="5755"/>
          <a:ext cx="6449145" cy="1835745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1135743</xdr:colOff>
      <xdr:row>0</xdr:row>
      <xdr:rowOff>5755</xdr:rowOff>
    </xdr:from>
    <xdr:to>
      <xdr:col>5</xdr:col>
      <xdr:colOff>2288988</xdr:colOff>
      <xdr:row>3</xdr:row>
      <xdr:rowOff>203200</xdr:rowOff>
    </xdr:to>
    <xdr:pic>
      <xdr:nvPicPr>
        <xdr:cNvPr id="2" name="Graphic 1">
          <a:extLst>
            <a:ext uri="{FF2B5EF4-FFF2-40B4-BE49-F238E27FC236}">
              <a16:creationId xmlns:a16="http://schemas.microsoft.com/office/drawing/2014/main" id="{B38EC1F3-AB7E-40A8-8CB1-9A3B172B6902}"/>
            </a:ext>
            <a:ext uri="{C183D7F6-B498-43B3-948B-1728B52AA6E4}">
              <adec:decorative xmlns:adec="http://schemas.microsoft.com/office/drawing/2017/decorative" val="1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9603468" y="5755"/>
          <a:ext cx="6449145" cy="1835745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1135743</xdr:colOff>
      <xdr:row>0</xdr:row>
      <xdr:rowOff>5755</xdr:rowOff>
    </xdr:from>
    <xdr:to>
      <xdr:col>5</xdr:col>
      <xdr:colOff>717362</xdr:colOff>
      <xdr:row>3</xdr:row>
      <xdr:rowOff>203200</xdr:rowOff>
    </xdr:to>
    <xdr:pic>
      <xdr:nvPicPr>
        <xdr:cNvPr id="2" name="Graphic 1">
          <a:extLst>
            <a:ext uri="{FF2B5EF4-FFF2-40B4-BE49-F238E27FC236}">
              <a16:creationId xmlns:a16="http://schemas.microsoft.com/office/drawing/2014/main" id="{4EEEDD1E-93FB-4ACD-8B8D-D9360A73FC2E}"/>
            </a:ext>
            <a:ext uri="{C183D7F6-B498-43B3-948B-1728B52AA6E4}">
              <adec:decorative xmlns:adec="http://schemas.microsoft.com/office/drawing/2017/decorative" val="1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9603468" y="5755"/>
          <a:ext cx="6449145" cy="1835745"/>
        </a:xfrm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1135743</xdr:colOff>
      <xdr:row>0</xdr:row>
      <xdr:rowOff>5755</xdr:rowOff>
    </xdr:from>
    <xdr:to>
      <xdr:col>6</xdr:col>
      <xdr:colOff>431613</xdr:colOff>
      <xdr:row>3</xdr:row>
      <xdr:rowOff>203200</xdr:rowOff>
    </xdr:to>
    <xdr:pic>
      <xdr:nvPicPr>
        <xdr:cNvPr id="2" name="Graphic 1">
          <a:extLst>
            <a:ext uri="{FF2B5EF4-FFF2-40B4-BE49-F238E27FC236}">
              <a16:creationId xmlns:a16="http://schemas.microsoft.com/office/drawing/2014/main" id="{B6527A3D-66AE-4886-A016-E2DA5B3B1E14}"/>
            </a:ext>
            <a:ext uri="{C183D7F6-B498-43B3-948B-1728B52AA6E4}">
              <adec:decorative xmlns:adec="http://schemas.microsoft.com/office/drawing/2017/decorative" val="1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9603468" y="5755"/>
          <a:ext cx="6449145" cy="1835745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Temitope%20Ojo\Downloads\Lagos_Venues_Filled_Data.xlsx" TargetMode="External"/><Relationship Id="rId1" Type="http://schemas.openxmlformats.org/officeDocument/2006/relationships/externalLinkPath" Target="Lagos_Venues_Filled_Data.xlsx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Temitope%20Ojo\Downloads\Lagos_Venues_Filled_Data.xlsx" TargetMode="External"/><Relationship Id="rId1" Type="http://schemas.openxmlformats.org/officeDocument/2006/relationships/externalLinkPath" Target="Lagos_Venues_Filled_Data.xlsx" TargetMode="External"/></Relationships>
</file>

<file path=xl/externalLinks/_rels/externalLink3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Temitope%20Ojo\Downloads\Lekki_Venues_Filled.xlsx" TargetMode="External"/><Relationship Id="rId1" Type="http://schemas.openxmlformats.org/officeDocument/2006/relationships/externalLinkPath" Target="Lekki_Venues_Filled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Sheet1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Venue Data"/>
      <sheetName val="Notes &amp; Limitations"/>
    </sheetNames>
    <sheetDataSet>
      <sheetData sheetId="0">
        <row r="1">
          <cell r="A1" t="str">
            <v>Venue Name</v>
          </cell>
          <cell r="B1" t="str">
            <v>Location</v>
          </cell>
          <cell r="C1" t="str">
            <v>Full Address</v>
          </cell>
          <cell r="D1" t="str">
            <v>Menu Categories</v>
          </cell>
          <cell r="E1" t="str">
            <v>Budget per Person</v>
          </cell>
          <cell r="F1" t="str">
            <v>Source</v>
          </cell>
        </row>
        <row r="2">
          <cell r="A2" t="str">
            <v>Tarragon Lagos</v>
          </cell>
          <cell r="B2" t="str">
            <v>Ikoyi</v>
          </cell>
          <cell r="C2" t="str">
            <v>50 Raymond Njoku St, Ikoyi, Lagos</v>
          </cell>
          <cell r="D2" t="str">
            <v>Fine dining / Contemporary / Date-night restaurant</v>
          </cell>
          <cell r="E2" t="str">
            <v>₦20,000 – ₦50,000+</v>
          </cell>
          <cell r="F2" t="str">
            <v>X posts (e.g. @lagosonabudget May 2026); public mentions</v>
          </cell>
        </row>
        <row r="3">
          <cell r="A3" t="str">
            <v>Danfo Bistro</v>
          </cell>
          <cell r="B3" t="str">
            <v>Ikoyi</v>
          </cell>
          <cell r="C3" t="str">
            <v>Ikoyi (exact street limited in public sources)</v>
          </cell>
          <cell r="D3" t="str">
            <v>Bistro / Casual dining</v>
          </cell>
          <cell r="E3" t="str">
            <v>₦10,000 – ₦25,000 (est.)</v>
          </cell>
          <cell r="F3" t="str">
            <v>X posts mentioning Danfo Bistro Ikoyi; limited detailed public listings</v>
          </cell>
        </row>
        <row r="4">
          <cell r="A4" t="str">
            <v>The Winehouse Lounge</v>
          </cell>
          <cell r="B4" t="str">
            <v>Ikoyi</v>
          </cell>
          <cell r="C4" t="str">
            <v>19A Mekunwen Road / Off Oyinkan Abayomi Drive, Ikoyi</v>
          </cell>
          <cell r="D4" t="str">
            <v>Wine lounge / Grill / African &amp; Continental</v>
          </cell>
          <cell r="E4" t="str">
            <v>₦15,000 – ₦40,000+</v>
          </cell>
          <cell r="F4" t="str">
            <v>TripAdvisor, Facebook, Bellanic Concepts site</v>
          </cell>
        </row>
        <row r="5">
          <cell r="A5" t="str">
            <v>The Orchid Bistro</v>
          </cell>
          <cell r="B5" t="str">
            <v>Ikoyi</v>
          </cell>
          <cell r="C5" t="str">
            <v>40B Raymond Njoku St, Ikoyi (Orchid Bistro Express)</v>
          </cell>
          <cell r="D5" t="str">
            <v>Bistro / Brunch / Chicken &amp; waffles / Casual upscale</v>
          </cell>
          <cell r="E5" t="str">
            <v>₦15,000 – ₦30,000</v>
          </cell>
          <cell r="F5" t="str">
            <v>X posts (location &amp; brunch mentions)</v>
          </cell>
        </row>
        <row r="6">
          <cell r="A6" t="str">
            <v>Liquid Hub Ikoyi</v>
          </cell>
          <cell r="B6" t="str">
            <v>Ikoyi</v>
          </cell>
          <cell r="C6" t="str">
            <v>7/12 Rumens Road, Ikoyi</v>
          </cell>
          <cell r="D6" t="str">
            <v>Lounge / Bar / Nigerian (Amala, prawn akara) / Music venue</v>
          </cell>
          <cell r="E6" t="str">
            <v>₦8,000 – ₦20,000 (reasonably priced)</v>
          </cell>
          <cell r="F6" t="str">
            <v>X posts (address &amp; food mentions)</v>
          </cell>
        </row>
        <row r="7">
          <cell r="A7" t="str">
            <v>Nuli Lounge Ikoyi</v>
          </cell>
          <cell r="B7" t="str">
            <v>Ikoyi</v>
          </cell>
          <cell r="C7" t="str">
            <v>120 Awolowo Road, Ikoyi</v>
          </cell>
          <cell r="D7" t="str">
            <v>Lounge / Juice bar / Cafe / Light meals</v>
          </cell>
          <cell r="E7" t="str">
            <v>₦5,000 – ₦15,000</v>
          </cell>
          <cell r="F7" t="str">
            <v>X posts listing locations including Awolowo Rd Ikoyi</v>
          </cell>
        </row>
        <row r="8">
          <cell r="A8" t="str">
            <v>Hans and Rene Ikoyi</v>
          </cell>
          <cell r="B8" t="str">
            <v>Ikoyi</v>
          </cell>
          <cell r="C8" t="str">
            <v>Glover Road / Upbeat area, Ikoyi (outlet)</v>
          </cell>
          <cell r="D8" t="str">
            <v>Gelato / Pastries / Desserts / Sweet treats</v>
          </cell>
          <cell r="E8" t="str">
            <v>₦3,000 – ₦12,000</v>
          </cell>
          <cell r="F8" t="str">
            <v>Official @hansandrene X account (Glover Ikoyi outlet)</v>
          </cell>
        </row>
        <row r="9">
          <cell r="A9" t="str">
            <v>Cafe Neo Ikoyi</v>
          </cell>
          <cell r="B9" t="str">
            <v>Ikoyi</v>
          </cell>
          <cell r="C9" t="str">
            <v>Muritala Mohammed Drive / area, Ikoyi (one of locations)</v>
          </cell>
          <cell r="D9" t="str">
            <v>Cafe / Coffee / Pastries / Light meals / Afro-centric</v>
          </cell>
          <cell r="E9" t="str">
            <v>₦4,000 – ₦12,000</v>
          </cell>
          <cell r="F9" t="str">
            <v>Public listings &amp; ofadaa.com style directories; Instagram presence</v>
          </cell>
        </row>
        <row r="10">
          <cell r="A10" t="str">
            <v>Eric Kayser Ikoyi</v>
          </cell>
          <cell r="B10" t="str">
            <v>Ikoyi</v>
          </cell>
          <cell r="C10" t="str">
            <v>9 Osborne Road, Ikoyi (Mike Adenuga Center / Alliance Française)</v>
          </cell>
          <cell r="D10" t="str">
            <v>French bakery / Cafe / Bistro / Pastries &amp; light meals</v>
          </cell>
          <cell r="E10" t="str">
            <v>₦5,000 – ₦18,000</v>
          </cell>
          <cell r="F10" t="str">
            <v>Official Maison Kayser site, Waze, TripAdvisor</v>
          </cell>
        </row>
        <row r="11">
          <cell r="A11" t="str">
            <v>Casa Lydia</v>
          </cell>
          <cell r="B11" t="str">
            <v>Ikoyi</v>
          </cell>
          <cell r="C11" t="str">
            <v>Glover Road, Ikoyi (historical / former location references)</v>
          </cell>
          <cell r="D11" t="str">
            <v>Bistro / Italian-influenced / Upscale casual</v>
          </cell>
          <cell r="E11" t="str">
            <v>₦15,000 – ₦40,000 (est.)</v>
          </cell>
          <cell r="F11" t="str">
            <v>X posts (Glover Rd mentions, job posts for Casa Lydia Bistro)</v>
          </cell>
        </row>
        <row r="12">
          <cell r="A12" t="str">
            <v>Ikoyi Club 1938</v>
          </cell>
          <cell r="B12" t="str">
            <v>Ikoyi</v>
          </cell>
          <cell r="C12" t="str">
            <v>6 Ikoyi Club Road, Ikoyi, Lagos</v>
          </cell>
          <cell r="D12" t="str">
            <v>Private members' club (restaurant, bar, sports facilities)</v>
          </cell>
          <cell r="E12" t="str">
            <v>Members only / High (varies by facility)</v>
          </cell>
          <cell r="F12" t="str">
            <v>Official ikoyiclub1938.org</v>
          </cell>
        </row>
        <row r="13">
          <cell r="A13" t="str">
            <v>Lagos Motor Boat Club</v>
          </cell>
          <cell r="B13" t="str">
            <v>Ikoyi</v>
          </cell>
          <cell r="C13" t="str">
            <v>Ikoyi waterfront / club grounds, Lagos</v>
          </cell>
          <cell r="D13" t="str">
            <v>Private members' club / Water sports / Club dining</v>
          </cell>
          <cell r="E13" t="str">
            <v>Members only</v>
          </cell>
          <cell r="F13" t="str">
            <v>Public knowledge of Lagos private clubs; limited open web details</v>
          </cell>
        </row>
        <row r="14">
          <cell r="A14" t="str">
            <v>Parkview Estate Food Spots</v>
          </cell>
          <cell r="B14" t="str">
            <v>Ikoyi</v>
          </cell>
          <cell r="C14" t="str">
            <v>Parkview Estate, Ikoyi</v>
          </cell>
          <cell r="D14" t="str">
            <v>Mixed cluster (local, takeaway, small eateries)</v>
          </cell>
          <cell r="E14" t="str">
            <v>₦2,000 – ₦15,000 (varies widely)</v>
          </cell>
          <cell r="F14" t="str">
            <v>Area cluster – local knowledge / Google-style listings</v>
          </cell>
        </row>
        <row r="15">
          <cell r="A15" t="str">
            <v>Dolphin Estate Food Spots</v>
          </cell>
          <cell r="B15" t="str">
            <v>Ikoyi</v>
          </cell>
          <cell r="C15" t="str">
            <v>Dolphin Estate, Ikoyi</v>
          </cell>
          <cell r="D15" t="str">
            <v>Mixed cluster (local, takeaway, small eateries)</v>
          </cell>
          <cell r="E15" t="str">
            <v>₦2,000 – ₦15,000 (varies widely)</v>
          </cell>
          <cell r="F15" t="str">
            <v>Area cluster – local knowledge</v>
          </cell>
        </row>
        <row r="16">
          <cell r="A16" t="str">
            <v>Awolowo Road Restaurant Cluster</v>
          </cell>
          <cell r="B16" t="str">
            <v>Ikoyi</v>
          </cell>
          <cell r="C16" t="str">
            <v>Along Awolowo Road, Ikoyi</v>
          </cell>
          <cell r="D16" t="str">
            <v>Mixed restaurants, cafes, lounges</v>
          </cell>
          <cell r="E16" t="str">
            <v>₦5,000 – ₦30,000+</v>
          </cell>
          <cell r="F16" t="str">
            <v>Road cluster – public listings</v>
          </cell>
        </row>
        <row r="17">
          <cell r="A17" t="str">
            <v>Kingsway Road Cafe Cluster</v>
          </cell>
          <cell r="B17" t="str">
            <v>Ikoyi</v>
          </cell>
          <cell r="C17" t="str">
            <v>Along Kingsway Road, Ikoyi</v>
          </cell>
          <cell r="D17" t="str">
            <v>Cafes / Light meals / Coffee spots</v>
          </cell>
          <cell r="E17" t="str">
            <v>₦4,000 – ₦15,000</v>
          </cell>
          <cell r="F17" t="str">
            <v>Road cluster</v>
          </cell>
        </row>
        <row r="18">
          <cell r="A18" t="str">
            <v>Glover Road Food Cluster</v>
          </cell>
          <cell r="B18" t="str">
            <v>Ikoyi</v>
          </cell>
          <cell r="C18" t="str">
            <v>Along Glover Road, Ikoyi</v>
          </cell>
          <cell r="D18" t="str">
            <v>Mixed restaurants, bistros, gelato (incl. Hans &amp; Rene area)</v>
          </cell>
          <cell r="E18" t="str">
            <v>₦5,000 – ₦30,000+</v>
          </cell>
          <cell r="F18" t="str">
            <v>Road cluster</v>
          </cell>
        </row>
        <row r="19">
          <cell r="A19" t="str">
            <v>Bourdillon Road Lounge Cluster</v>
          </cell>
          <cell r="B19" t="str">
            <v>Ikoyi</v>
          </cell>
          <cell r="C19" t="str">
            <v>Along Bourdillon Road, Ikoyi</v>
          </cell>
          <cell r="D19" t="str">
            <v>Lounges / Bars / Upscale hangouts</v>
          </cell>
          <cell r="E19" t="str">
            <v>₦15,000 – ₦50,000+</v>
          </cell>
          <cell r="F19" t="str">
            <v>Road cluster</v>
          </cell>
        </row>
        <row r="20">
          <cell r="A20" t="str">
            <v>Ikoyi Plaza Food Spots</v>
          </cell>
          <cell r="B20" t="str">
            <v>Ikoyi</v>
          </cell>
          <cell r="C20" t="str">
            <v>Ikoyi Plaza area</v>
          </cell>
          <cell r="D20" t="str">
            <v>Mixed fast-casual / takeaway</v>
          </cell>
          <cell r="E20" t="str">
            <v>₦3,000 – ₦12,000</v>
          </cell>
          <cell r="F20" t="str">
            <v>Plaza cluster</v>
          </cell>
        </row>
        <row r="21">
          <cell r="A21" t="str">
            <v>Falomo Shopping Centre Food Spots</v>
          </cell>
          <cell r="B21" t="str">
            <v>Ikoyi</v>
          </cell>
          <cell r="C21" t="str">
            <v>Falomo Shopping Centre, Ikoyi</v>
          </cell>
          <cell r="D21" t="str">
            <v>Food court style / Mixed</v>
          </cell>
          <cell r="E21" t="str">
            <v>₦3,000 – ₦12,000</v>
          </cell>
          <cell r="F21" t="str">
            <v>Shopping centre cluster</v>
          </cell>
        </row>
        <row r="22">
          <cell r="A22" t="str">
            <v>Glover Court Suya Spots</v>
          </cell>
          <cell r="B22" t="str">
            <v>Ikoyi</v>
          </cell>
          <cell r="C22" t="str">
            <v>Glover Court area, Ikoyi</v>
          </cell>
          <cell r="D22" t="str">
            <v>Suya / Grills / Street-style</v>
          </cell>
          <cell r="E22" t="str">
            <v>₦2,000 – ₦8,000</v>
          </cell>
          <cell r="F22" t="str">
            <v>Suya cluster</v>
          </cell>
        </row>
        <row r="23">
          <cell r="A23" t="str">
            <v>Bourdillon Suya and Grill Spots</v>
          </cell>
          <cell r="B23" t="str">
            <v>Ikoyi</v>
          </cell>
          <cell r="C23" t="str">
            <v>Along Bourdillon Road, Ikoyi</v>
          </cell>
          <cell r="D23" t="str">
            <v>Suya / Grills</v>
          </cell>
          <cell r="E23" t="str">
            <v>₦2,000 – ₦10,000</v>
          </cell>
          <cell r="F23" t="str">
            <v>Suya/grill cluster</v>
          </cell>
        </row>
        <row r="24">
          <cell r="A24" t="str">
            <v>Ikoyi Waterfront Hangout Cluster</v>
          </cell>
          <cell r="B24" t="str">
            <v>Ikoyi</v>
          </cell>
          <cell r="C24" t="str">
            <v>Ikoyi waterfront areas</v>
          </cell>
          <cell r="D24" t="str">
            <v>Mixed hangouts / lounges / outdoor</v>
          </cell>
          <cell r="E24" t="str">
            <v>₦10,000 – ₦40,000+</v>
          </cell>
          <cell r="F24" t="str">
            <v>Waterfront cluster</v>
          </cell>
        </row>
        <row r="25">
          <cell r="A25" t="str">
            <v>OfadaBoy</v>
          </cell>
          <cell r="B25" t="str">
            <v>Surulere</v>
          </cell>
          <cell r="C25" t="str">
            <v>Surulere, Lagos (exact street limited in public sources)</v>
          </cell>
          <cell r="D25" t="str">
            <v>Nigerian / Ofada rice specialist / Seafood Ofada / Local cuisine</v>
          </cell>
          <cell r="E25" t="str">
            <v>₦5,000 – ₦15,000</v>
          </cell>
          <cell r="F25" t="str">
            <v>X posts (popular Ofada &amp; seafood Ofada mentions); known Surulere spot</v>
          </cell>
        </row>
        <row r="26">
          <cell r="A26" t="str">
            <v>Shodex Garden</v>
          </cell>
          <cell r="B26" t="str">
            <v>Surulere</v>
          </cell>
          <cell r="C26" t="str">
            <v>Surulere (event/garden venue)</v>
          </cell>
          <cell r="D26" t="str">
            <v>Event / Garden venue (occasional food/events)</v>
          </cell>
          <cell r="E26" t="str">
            <v>Varies by event</v>
          </cell>
          <cell r="F26" t="str">
            <v>Older X posts (events at Shodex Garden)</v>
          </cell>
        </row>
        <row r="27">
          <cell r="A27" t="str">
            <v>Blue Room by Reality</v>
          </cell>
          <cell r="B27" t="str">
            <v>Surulere</v>
          </cell>
          <cell r="C27" t="str">
            <v>Surulere (limited public address)</v>
          </cell>
          <cell r="D27" t="str">
            <v>Lounge / Bar / Entertainment</v>
          </cell>
          <cell r="E27" t="str">
            <v>₦8,000 – ₦25,000 (est.)</v>
          </cell>
          <cell r="F27" t="str">
            <v>Limited public web data; social media presence likely</v>
          </cell>
        </row>
        <row r="28">
          <cell r="A28" t="str">
            <v>Arami Café Restaurant &amp; Bar</v>
          </cell>
          <cell r="B28" t="str">
            <v>Surulere</v>
          </cell>
          <cell r="C28" t="str">
            <v>Surulere (limited public address)</v>
          </cell>
          <cell r="D28" t="str">
            <v>Cafe / Restaurant / Bar</v>
          </cell>
          <cell r="E28" t="str">
            <v>₦6,000 – ₦18,000 (est.)</v>
          </cell>
          <cell r="F28" t="str">
            <v>Limited public web data</v>
          </cell>
        </row>
        <row r="29">
          <cell r="A29" t="str">
            <v>Filmhouse Surulere</v>
          </cell>
          <cell r="B29" t="str">
            <v>Surulere</v>
          </cell>
          <cell r="C29" t="str">
            <v>Filmhouse Cinemas, Surulere (Adeniran Ogunsanya / area)</v>
          </cell>
          <cell r="D29" t="str">
            <v>Cinema concessions / Snacks / Light meals</v>
          </cell>
          <cell r="E29" t="str">
            <v>₦3,000 – ₦10,000 (concessions)</v>
          </cell>
          <cell r="F29" t="str">
            <v>Filmhouse Cinema locations</v>
          </cell>
        </row>
        <row r="30">
          <cell r="A30" t="str">
            <v>KFC Bode Thomas</v>
          </cell>
          <cell r="B30" t="str">
            <v>Surulere</v>
          </cell>
          <cell r="C30" t="str">
            <v>Bode Thomas area, Surulere, Lagos</v>
          </cell>
          <cell r="D30" t="str">
            <v>Fast food / Fried chicken / Burgers</v>
          </cell>
          <cell r="E30" t="str">
            <v>₦2,500 – ₦8,000</v>
          </cell>
          <cell r="F30" t="str">
            <v>Chain standard; Bode Thomas location public</v>
          </cell>
        </row>
        <row r="31">
          <cell r="A31" t="str">
            <v>Domino's Pizza Surulere</v>
          </cell>
          <cell r="B31" t="str">
            <v>Surulere</v>
          </cell>
          <cell r="C31" t="str">
            <v>Surulere (specific branch; check Domino's locator)</v>
          </cell>
          <cell r="D31" t="str">
            <v>Pizza / Fast casual</v>
          </cell>
          <cell r="E31" t="str">
            <v>₦4,000 – ₦12,000</v>
          </cell>
          <cell r="F31" t="str">
            <v>Domino's Pizza chain</v>
          </cell>
        </row>
        <row r="32">
          <cell r="A32" t="str">
            <v>Cold Stone Creamery Surulere</v>
          </cell>
          <cell r="B32" t="str">
            <v>Surulere</v>
          </cell>
          <cell r="C32" t="str">
            <v>Surulere (specific branch)</v>
          </cell>
          <cell r="D32" t="str">
            <v>Ice cream / Desserts</v>
          </cell>
          <cell r="E32" t="str">
            <v>₦2,500 – ₦8,000</v>
          </cell>
          <cell r="F32" t="str">
            <v>Cold Stone Creamery chain</v>
          </cell>
        </row>
        <row r="33">
          <cell r="A33" t="str">
            <v>Chicken Republic Surulere</v>
          </cell>
          <cell r="B33" t="str">
            <v>Surulere</v>
          </cell>
          <cell r="C33" t="str">
            <v>Surulere (multiple possible; Bode Thomas / area common)</v>
          </cell>
          <cell r="D33" t="str">
            <v>Fast food / Fried chicken / Nigerian sides</v>
          </cell>
          <cell r="E33" t="str">
            <v>₦2,500 – ₦8,000</v>
          </cell>
          <cell r="F33" t="str">
            <v>Chicken Republic chain</v>
          </cell>
        </row>
        <row r="34">
          <cell r="A34" t="str">
            <v>The Place Restaurant Surulere</v>
          </cell>
          <cell r="B34" t="str">
            <v>Surulere</v>
          </cell>
          <cell r="C34" t="str">
            <v>Surulere (The Place has multiple Lagos locations)</v>
          </cell>
          <cell r="D34" t="str">
            <v>Nigerian / Continental / Casual dining</v>
          </cell>
          <cell r="E34" t="str">
            <v>₦6,000 – ₦18,000</v>
          </cell>
          <cell r="F34" t="str">
            <v>The Place Restaurant chain listings</v>
          </cell>
        </row>
        <row r="35">
          <cell r="A35" t="str">
            <v>Tastee Fried Chicken Surulere</v>
          </cell>
          <cell r="B35" t="str">
            <v>Surulere</v>
          </cell>
          <cell r="C35" t="str">
            <v>Surulere</v>
          </cell>
          <cell r="D35" t="str">
            <v>Fast food / Fried chicken</v>
          </cell>
          <cell r="E35" t="str">
            <v>₦2,500 – ₦7,000</v>
          </cell>
          <cell r="F35" t="str">
            <v>Tastee Fried Chicken chain</v>
          </cell>
        </row>
        <row r="36">
          <cell r="A36" t="str">
            <v>Sweet Sensation Surulere</v>
          </cell>
          <cell r="B36" t="str">
            <v>Surulere</v>
          </cell>
          <cell r="C36" t="str">
            <v>Surulere</v>
          </cell>
          <cell r="D36" t="str">
            <v>Fast food / Nigerian &amp; continental quick service</v>
          </cell>
          <cell r="E36" t="str">
            <v>₦3,000 – ₦9,000</v>
          </cell>
          <cell r="F36" t="str">
            <v>Sweet Sensation chain</v>
          </cell>
        </row>
        <row r="37">
          <cell r="A37" t="str">
            <v>Mr Bigg's Surulere</v>
          </cell>
          <cell r="B37" t="str">
            <v>Surulere</v>
          </cell>
          <cell r="C37" t="str">
            <v>Surulere</v>
          </cell>
          <cell r="D37" t="str">
            <v>Fast food / Burgers / Nigerian quick service</v>
          </cell>
          <cell r="E37" t="str">
            <v>₦2,500 – ₦7,000</v>
          </cell>
          <cell r="F37" t="str">
            <v>Mr Bigg's chain</v>
          </cell>
        </row>
        <row r="38">
          <cell r="A38" t="str">
            <v>Debonairs Pizza Surulere</v>
          </cell>
          <cell r="B38" t="str">
            <v>Surulere</v>
          </cell>
          <cell r="C38" t="str">
            <v>Surulere</v>
          </cell>
          <cell r="D38" t="str">
            <v>Pizza / Fast casual</v>
          </cell>
          <cell r="E38" t="str">
            <v>₦4,000 – ₦12,000</v>
          </cell>
          <cell r="F38" t="str">
            <v>Debonairs Pizza chain</v>
          </cell>
        </row>
        <row r="39">
          <cell r="A39" t="str">
            <v>Pizza Hut Surulere</v>
          </cell>
          <cell r="B39" t="str">
            <v>Surulere</v>
          </cell>
          <cell r="C39" t="str">
            <v>Surulere</v>
          </cell>
          <cell r="D39" t="str">
            <v>Pizza / Fast casual</v>
          </cell>
          <cell r="E39" t="str">
            <v>₦5,000 – ₦15,000</v>
          </cell>
          <cell r="F39" t="str">
            <v>Pizza Hut chain</v>
          </cell>
        </row>
        <row r="40">
          <cell r="A40" t="str">
            <v>Bukkateria Surulere</v>
          </cell>
          <cell r="B40" t="str">
            <v>Surulere</v>
          </cell>
          <cell r="C40" t="str">
            <v>Surulere (limited public address)</v>
          </cell>
          <cell r="D40" t="str">
            <v>Nigerian / Local / Casual</v>
          </cell>
          <cell r="E40" t="str">
            <v>₦4,000 – ₦12,000 (est.)</v>
          </cell>
          <cell r="F40" t="str">
            <v>Limited public web data</v>
          </cell>
        </row>
        <row r="41">
          <cell r="A41" t="str">
            <v>Yellow Chilli Surulere</v>
          </cell>
          <cell r="B41" t="str">
            <v>Surulere</v>
          </cell>
          <cell r="C41" t="str">
            <v>Surulere / Lagos (Yellow Chilli has known locations)</v>
          </cell>
          <cell r="D41" t="str">
            <v>Nigerian cuisine / Elegant casual dining</v>
          </cell>
          <cell r="E41" t="str">
            <v>₦8,000 – ₦25,000</v>
          </cell>
          <cell r="F41" t="str">
            <v>X posts &amp; public mentions of Yellow Chilli as quality Nigerian</v>
          </cell>
        </row>
        <row r="42">
          <cell r="A42" t="str">
            <v>Jevinik Surulere</v>
          </cell>
          <cell r="B42" t="str">
            <v>Surulere</v>
          </cell>
          <cell r="C42" t="str">
            <v>Surulere / Lagos (Jevinik known for Nigerian soups &amp; local)</v>
          </cell>
          <cell r="D42" t="str">
            <v>Nigerian / Soups / Local cuisine</v>
          </cell>
          <cell r="E42" t="str">
            <v>₦6,000 – ₦18,000</v>
          </cell>
          <cell r="F42" t="str">
            <v>X posts praising Jevinik for authentic Nigerian food</v>
          </cell>
        </row>
        <row r="43">
          <cell r="A43" t="str">
            <v>Ocean Basket Surulere</v>
          </cell>
          <cell r="B43" t="str">
            <v>Surulere</v>
          </cell>
          <cell r="C43" t="str">
            <v>No confirmed Surulere branch in current public listings (known in VI, Ikeja)</v>
          </cell>
          <cell r="D43" t="str">
            <v>Seafood (if exists) / Chain style</v>
          </cell>
          <cell r="E43" t="str">
            <v>₦10,000 – ₦30,000 (typical Ocean Basket)</v>
          </cell>
          <cell r="F43" t="str">
            <v>Official Ocean Basket Nigeria site shows VI, Ikeja, Abuja – Surulere may be outdated or error</v>
          </cell>
        </row>
        <row r="44">
          <cell r="A44" t="str">
            <v>Lounge 38 Surulere</v>
          </cell>
          <cell r="B44" t="str">
            <v>Surulere</v>
          </cell>
          <cell r="C44" t="str">
            <v>Surulere</v>
          </cell>
          <cell r="D44" t="str">
            <v>Lounge / Bar / Nightlife</v>
          </cell>
          <cell r="E44" t="str">
            <v>₦8,000 – ₦25,000 (est.)</v>
          </cell>
          <cell r="F44" t="str">
            <v>X posts confirming Lounge 38 Surulere</v>
          </cell>
        </row>
        <row r="45">
          <cell r="A45" t="str">
            <v>Club Rumors Surulere</v>
          </cell>
          <cell r="B45" t="str">
            <v>Surulere</v>
          </cell>
          <cell r="C45" t="str">
            <v>Surulere</v>
          </cell>
          <cell r="D45" t="str">
            <v>Nightclub / Lounge</v>
          </cell>
          <cell r="E45" t="str">
            <v>₦10,000 – ₦30,000+ (entry + drinks)</v>
          </cell>
          <cell r="F45" t="str">
            <v>Limited public web; nightlife venue</v>
          </cell>
        </row>
        <row r="46">
          <cell r="A46" t="str">
            <v>O'jez Restaurant Surulere</v>
          </cell>
          <cell r="B46" t="str">
            <v>Surulere</v>
          </cell>
          <cell r="C46" t="str">
            <v>Surulere (limited public address)</v>
          </cell>
          <cell r="D46" t="str">
            <v>Restaurant (likely Nigerian / casual)</v>
          </cell>
          <cell r="E46" t="str">
            <v>₦5,000 – ₦15,000 (est.)</v>
          </cell>
          <cell r="F46" t="str">
            <v>Limited public web data</v>
          </cell>
        </row>
        <row r="47">
          <cell r="A47" t="str">
            <v>Teslim Balogun Stadium</v>
          </cell>
          <cell r="B47" t="str">
            <v>Surulere</v>
          </cell>
          <cell r="C47" t="str">
            <v>Teslim Balogun Stadium, Surulere, Lagos</v>
          </cell>
          <cell r="D47" t="str">
            <v>Stadium (match-day food vendors / concessions)</v>
          </cell>
          <cell r="E47" t="str">
            <v>₦1,500 – ₦8,000 (vendors)</v>
          </cell>
          <cell r="F47" t="str">
            <v>Public stadium location</v>
          </cell>
        </row>
        <row r="48">
          <cell r="A48" t="str">
            <v>National Stadium Surulere</v>
          </cell>
          <cell r="B48" t="str">
            <v>Surulere</v>
          </cell>
          <cell r="C48" t="str">
            <v>National Stadium, Surulere, Lagos</v>
          </cell>
          <cell r="D48" t="str">
            <v>Stadium (match-day / event food vendors)</v>
          </cell>
          <cell r="E48" t="str">
            <v>₦1,500 – ₦8,000 (vendors)</v>
          </cell>
          <cell r="F48" t="str">
            <v>Public stadium location</v>
          </cell>
        </row>
        <row r="49">
          <cell r="A49" t="str">
            <v>Eko Club</v>
          </cell>
          <cell r="B49" t="str">
            <v>Surulere</v>
          </cell>
          <cell r="C49" t="str">
            <v>Surulere / Lagos (Eko Club references)</v>
          </cell>
          <cell r="D49" t="str">
            <v>Private / Social club</v>
          </cell>
          <cell r="E49" t="str">
            <v>Members / Varies</v>
          </cell>
          <cell r="F49" t="str">
            <v>Limited open public details</v>
          </cell>
        </row>
        <row r="50">
          <cell r="A50" t="str">
            <v>Coded Lounge Surulere</v>
          </cell>
          <cell r="B50" t="str">
            <v>Surulere</v>
          </cell>
          <cell r="C50" t="str">
            <v>Surulere</v>
          </cell>
          <cell r="D50" t="str">
            <v>Lounge / Bar</v>
          </cell>
          <cell r="E50" t="str">
            <v>₦8,000 – ₦25,000 (est.)</v>
          </cell>
          <cell r="F50" t="str">
            <v>Limited public web data</v>
          </cell>
        </row>
        <row r="51">
          <cell r="A51" t="str">
            <v>Barbeque Spot Surulere</v>
          </cell>
          <cell r="B51" t="str">
            <v>Surulere</v>
          </cell>
          <cell r="C51" t="str">
            <v>Surulere</v>
          </cell>
          <cell r="D51" t="str">
            <v>Barbecue / Grills</v>
          </cell>
          <cell r="E51" t="str">
            <v>₦4,000 – ₦12,000 (est.)</v>
          </cell>
          <cell r="F51" t="str">
            <v>Limited public web data</v>
          </cell>
        </row>
        <row r="52">
          <cell r="A52" t="str">
            <v>Bode Thomas Suya Spots</v>
          </cell>
          <cell r="B52" t="str">
            <v>Surulere</v>
          </cell>
          <cell r="C52" t="str">
            <v>Along Bode Thomas, Surulere</v>
          </cell>
          <cell r="D52" t="str">
            <v>Suya / Street grills</v>
          </cell>
          <cell r="E52" t="str">
            <v>₦2,000 – ₦8,000</v>
          </cell>
          <cell r="F52" t="str">
            <v>Suya cluster along Bode Thomas</v>
          </cell>
        </row>
        <row r="53">
          <cell r="A53" t="str">
            <v>Masha Road Food Spots</v>
          </cell>
          <cell r="B53" t="str">
            <v>Surulere</v>
          </cell>
          <cell r="C53" t="str">
            <v>Along Masha Road, Surulere</v>
          </cell>
          <cell r="D53" t="str">
            <v>Mixed local food spots</v>
          </cell>
          <cell r="E53" t="str">
            <v>₦2,000 – ₦12,000</v>
          </cell>
          <cell r="F53" t="str">
            <v>Road cluster</v>
          </cell>
        </row>
        <row r="54">
          <cell r="A54" t="str">
            <v>Leisure Mall Food Court</v>
          </cell>
          <cell r="B54" t="str">
            <v>Surulere</v>
          </cell>
          <cell r="C54" t="str">
            <v>Leisure Mall, Surulere</v>
          </cell>
          <cell r="D54" t="str">
            <v>Food court / Mixed fast casual</v>
          </cell>
          <cell r="E54" t="str">
            <v>₦3,000 – ₦12,000</v>
          </cell>
          <cell r="F54" t="str">
            <v>Mall food court</v>
          </cell>
        </row>
        <row r="55">
          <cell r="A55" t="str">
            <v>Adeniran Ogunsanya Cafe Cluster</v>
          </cell>
          <cell r="B55" t="str">
            <v>Surulere</v>
          </cell>
          <cell r="C55" t="str">
            <v>Along Adeniran Ogunsanya Street, Surulere</v>
          </cell>
          <cell r="D55" t="str">
            <v>Cafes / Light meals / Fast food nearby</v>
          </cell>
          <cell r="E55" t="str">
            <v>₦3,000 – ₦12,000</v>
          </cell>
          <cell r="F55" t="str">
            <v>Street cluster (near Filmhouse etc.)</v>
          </cell>
        </row>
      </sheetData>
      <sheetData sheetId="1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Lekki Venue Data"/>
      <sheetName val="Notes &amp; Limitations"/>
    </sheetNames>
    <sheetDataSet>
      <sheetData sheetId="0">
        <row r="1">
          <cell r="A1" t="str">
            <v>Venue Name</v>
          </cell>
        </row>
      </sheetData>
      <sheetData sheetId="1"/>
    </sheetDataSet>
  </externalBook>
</externalLink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AC863FB1-C9B6-47CB-B4A9-AF921A67D151}" name="Table_ForecastInput2456" displayName="Table_ForecastInput2456" ref="B6:L29" totalsRowShown="0" headerRowDxfId="58">
  <autoFilter ref="B6:L29" xr:uid="{00000000-000C-0000-FFFF-FFFF00000000}"/>
  <tableColumns count="11">
    <tableColumn id="1" xr3:uid="{225E914A-E569-41E1-8974-9E29CE0E6A4C}" name="Venue Name"/>
    <tableColumn id="2" xr3:uid="{E34D5FC4-07A8-4533-9131-BE4F028AA2F3}" name="Menu Type"/>
    <tableColumn id="3" xr3:uid="{E9A345C1-D813-410E-AF06-ED96FD6BE6B2}" name="Activity or Things to Note" dataDxfId="57"/>
    <tableColumn id="4" xr3:uid="{EF51E4C5-DFE2-411B-B978-05546A23D562}" name="Address"/>
    <tableColumn id="15" xr3:uid="{9658CD8C-4313-4B6F-91ED-5FDFE93E69DF}" name="Contact" dataDxfId="56"/>
    <tableColumn id="5" xr3:uid="{342AD3F7-E3DE-4892-B2BC-0050FFA03893}" name="Budget per Person (₦)" dataDxfId="55"/>
    <tableColumn id="6" xr3:uid="{D31F0385-F6DE-4DA7-ADE5-C580AF9601EA}" name="Open Time"/>
    <tableColumn id="7" xr3:uid="{B7CD2E6F-354F-4710-BF75-183ABCAB3BD9}" name="Social Media Presence (IG/Tiktok Handles)"/>
    <tableColumn id="17" xr3:uid="{B0E03EB5-927E-444C-B976-62C91CB2C7DF}" name="Wait Time" dataDxfId="54"/>
    <tableColumn id="8" xr3:uid="{7A0875D9-32C3-43F2-A135-C79877AC8A9D}" name="Public Menu or Booking" dataDxfId="53"/>
    <tableColumn id="9" xr3:uid="{F95CB730-C7A7-4557-9468-D1BEAA2FD573}" name="Current Partners" dataDxfId="52">
      <calculatedColumnFormula>Table_ForecastInput2456[[#This Row],[Budget per Person (₦)]]*Table_ForecastInput2456[[#This Row],[Social Media Presence (IG/Tiktok Handles)]]</calculatedColumnFormula>
    </tableColumn>
  </tableColumns>
  <tableStyleInfo name="Business Table" showFirstColumn="0" showLastColumn="0" showRowStripes="0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7BE63DD0-6D40-40BE-8128-1761F6CD12F0}" name="Table_ForecastInput2456745" displayName="Table_ForecastInput2456745" ref="B6:M58" totalsRowShown="0" headerRowDxfId="40">
  <autoFilter ref="B6:M58" xr:uid="{00000000-000C-0000-FFFF-FFFF00000000}"/>
  <tableColumns count="12">
    <tableColumn id="1" xr3:uid="{66FC08C7-8196-47A1-9DA9-BCFEA67919F1}" name="Venue Name" dataDxfId="39"/>
    <tableColumn id="2" xr3:uid="{03ECD550-47F0-44A9-A672-B001F249D019}" name="Menu Type"/>
    <tableColumn id="3" xr3:uid="{A3B360DA-749D-451D-890D-49ADF753EB65}" name="Activity or Things to Note" dataDxfId="38"/>
    <tableColumn id="4" xr3:uid="{32979FA0-6093-4EBE-BD5C-42803CC523E5}" name="Address" dataDxfId="37"/>
    <tableColumn id="5" xr3:uid="{5D207B96-A5FD-4C82-9B26-03B869B37413}" name="Budget per Person (₦)" dataDxfId="9"/>
    <tableColumn id="10" xr3:uid="{FD381B50-317B-455B-86FA-C5DEDA625492}" name="Source" dataDxfId="8"/>
    <tableColumn id="15" xr3:uid="{B7EFDE52-DC48-47BB-8452-855CDFCA5E75}" name="Contact" dataDxfId="36"/>
    <tableColumn id="6" xr3:uid="{162D58EF-8D36-44CD-89E0-18F59F4578DA}" name="Opening Time"/>
    <tableColumn id="7" xr3:uid="{7821AA9D-4D23-41D7-8705-F3433FF24E56}" name="Social Media Presence (IG/Tiktok Handles)"/>
    <tableColumn id="17" xr3:uid="{307FA5A0-E1FA-44F3-990A-5624325A9035}" name="Wait Time" dataDxfId="35"/>
    <tableColumn id="8" xr3:uid="{C77EBA94-EB2E-4167-8BEA-289327CC6C25}" name="Public Menu or Booking" dataDxfId="34"/>
    <tableColumn id="9" xr3:uid="{EF2821B1-46DB-45DB-AC46-1E26678C3C3D}" name="Current Partners" dataDxfId="33">
      <calculatedColumnFormula>Table_ForecastInput2456745[[#This Row],[Budget per Person (₦)]]*Table_ForecastInput2456745[[#This Row],[Social Media Presence (IG/Tiktok Handles)]]</calculatedColumnFormula>
    </tableColumn>
  </tableColumns>
  <tableStyleInfo name="Business Table" showFirstColumn="0" showLastColumn="0" showRowStripes="0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AB710988-4791-4C5E-87C1-EC8AF359DB97}" name="Table_ForecastInput245674" displayName="Table_ForecastInput245674" ref="B6:M37" totalsRowShown="0" headerRowDxfId="45">
  <autoFilter ref="B6:M37" xr:uid="{00000000-000C-0000-FFFF-FFFF00000000}"/>
  <tableColumns count="12">
    <tableColumn id="1" xr3:uid="{F05A1346-0717-4D29-95FE-F9634BFF3BEF}" name="Venue Name"/>
    <tableColumn id="2" xr3:uid="{F96759D0-3597-4A99-B87B-8FDF25F0AF26}" name="Menu Type" dataDxfId="11">
      <calculatedColumnFormula>VLOOKUP(Table_ForecastInput245674[[#This Row],[Venue Name]],#REF!,4,)</calculatedColumnFormula>
    </tableColumn>
    <tableColumn id="3" xr3:uid="{0E023459-444A-49F7-A01B-FC3C44B7EDB8}" name="Activity or Things to Note" dataDxfId="12"/>
    <tableColumn id="4" xr3:uid="{3EBF83D4-E5E5-4A53-9962-CACDFE2F954D}" name="Address"/>
    <tableColumn id="5" xr3:uid="{AAC159D5-409F-4BE4-8002-0B5681DBB965}" name="Budget per Person (₦)" dataDxfId="10"/>
    <tableColumn id="10" xr3:uid="{AD5EC61E-E3D3-4D9F-9ACF-3E8D4030B799}" name="Source" dataDxfId="7">
      <calculatedColumnFormula>VLOOKUP(Table_ForecastInput245674[[#This Row],[Venue Name]],'[2]Venue Data'!$A:$F,6,)</calculatedColumnFormula>
    </tableColumn>
    <tableColumn id="15" xr3:uid="{9315BA32-89EA-45C2-AC88-A9D4EAC95794}" name="Contact" dataDxfId="44"/>
    <tableColumn id="6" xr3:uid="{45BE056E-B0B5-41E2-97B1-69CC6C6FFB54}" name="Opening Time"/>
    <tableColumn id="7" xr3:uid="{0A6B4F15-1949-4605-82E3-08CF562699C9}" name="Social Media Presence (IG,Tiktok Handles)"/>
    <tableColumn id="17" xr3:uid="{A9F4FD05-B8F2-4366-87F6-745A675D6AFC}" name="Wait Time" dataDxfId="43"/>
    <tableColumn id="8" xr3:uid="{42EC83F1-1E42-43F6-82D8-73EB08AE7317}" name="Public Menu or Booking" dataDxfId="42"/>
    <tableColumn id="9" xr3:uid="{D107E688-8B5B-4299-A874-0F9E4D27A650}" name="Current Partners" dataDxfId="41">
      <calculatedColumnFormula>Table_ForecastInput245674[[#This Row],[Budget per Person (₦)]]*Table_ForecastInput245674[[#This Row],[Social Media Presence (IG,Tiktok Handles)]]</calculatedColumnFormula>
    </tableColumn>
  </tableColumns>
  <tableStyleInfo name="Business Table" showFirstColumn="0" showLastColumn="0" showRowStripes="0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B5FDAD84-5B93-4B02-A81E-246A5911BCB9}" name="Table_ForecastInput24567" displayName="Table_ForecastInput24567" ref="B6:M37" totalsRowShown="0" headerRowDxfId="51">
  <autoFilter ref="B6:M37" xr:uid="{00000000-000C-0000-FFFF-FFFF00000000}"/>
  <tableColumns count="12">
    <tableColumn id="1" xr3:uid="{1E42BB4A-0981-4414-AD4C-95A9ED8C685C}" name="Venue Name"/>
    <tableColumn id="2" xr3:uid="{0265EADE-7F14-46C8-B903-F3495D3AFDE8}" name="Menu Type" dataDxfId="14"/>
    <tableColumn id="3" xr3:uid="{21C24CA8-9F0A-4442-B23C-36BCF5579A09}" name="Activity or Things to Note" dataDxfId="50"/>
    <tableColumn id="4" xr3:uid="{946C1825-2C9E-40AA-95BA-8178B2AD7B0D}" name="Address"/>
    <tableColumn id="5" xr3:uid="{43A81FFA-178D-4213-9DF4-B2F5E77D634C}" name="Budget per Person (₦)" dataDxfId="13"/>
    <tableColumn id="11" xr3:uid="{36822A0C-36D7-46BD-9747-B7D1580AC4A0}" name="Source" dataDxfId="6">
      <calculatedColumnFormula>VLOOKUP(Table_ForecastInput24567[[#This Row],[Venue Name]],'[2]Venue Data'!$A:$F,6,)</calculatedColumnFormula>
    </tableColumn>
    <tableColumn id="15" xr3:uid="{3D587FF4-C922-4AC8-BC1C-A13DF94A2A8C}" name="Contact" dataDxfId="49"/>
    <tableColumn id="6" xr3:uid="{62A4EFC7-E1AE-43EE-8C3F-D7E3F80104CE}" name="Opening Time"/>
    <tableColumn id="7" xr3:uid="{74A022C6-8824-4BF2-93D8-DE9E1D40BD79}" name="Social Media Presence (IG/Tiktok Handles)"/>
    <tableColumn id="17" xr3:uid="{0CD67665-02B1-4D1D-9086-80E20CF86806}" name="Wait Time" dataDxfId="48"/>
    <tableColumn id="8" xr3:uid="{29C60C27-0C0F-4451-8BEA-7A128BC91A1D}" name="Public Menu or Booking" dataDxfId="47"/>
    <tableColumn id="9" xr3:uid="{D6C7A58E-0D75-4F95-B0BB-D619C04A97D9}" name="Current Partners" dataDxfId="46"/>
  </tableColumns>
  <tableStyleInfo name="Business Table" showFirstColumn="0" showLastColumn="0" showRowStripes="0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5200A7EC-6A62-4623-A821-7AF481B7F705}" name="Table_ForecastInput24567456" displayName="Table_ForecastInput24567456" ref="B6:M38" totalsRowShown="0" headerRowDxfId="32">
  <autoFilter ref="B6:M38" xr:uid="{00000000-000C-0000-FFFF-FFFF00000000}"/>
  <tableColumns count="12">
    <tableColumn id="1" xr3:uid="{AFD04386-C7D7-4433-8DA8-751915D1F294}" name="Venue Name"/>
    <tableColumn id="2" xr3:uid="{69A989C9-65D9-4825-9D93-26D5A5397069}" name="Menu Type"/>
    <tableColumn id="3" xr3:uid="{455392D7-9DEA-44A0-9BF1-83F3DBFAF90D}" name="Activity or Things to Note" dataDxfId="31"/>
    <tableColumn id="4" xr3:uid="{3DE39B5E-CC26-498A-AB1E-14E5B79FE7F6}" name="Address"/>
    <tableColumn id="15" xr3:uid="{CCD4488D-E81D-4666-941A-E1267C0CE4C3}" name="Contact" dataDxfId="30"/>
    <tableColumn id="5" xr3:uid="{D63E34EB-60C6-47EA-87E9-3E65D14A815F}" name="Budget per Person (₦)" dataDxfId="29"/>
    <tableColumn id="10" xr3:uid="{0083FB34-B987-4CAA-96B8-79DE0E3C8A66}" name="Source" dataDxfId="1"/>
    <tableColumn id="6" xr3:uid="{3DDF63F6-C99A-4C61-9823-89B7D3C67AA5}" name="Opening Time"/>
    <tableColumn id="7" xr3:uid="{64533E97-051C-4394-AB5D-1A42EAF4E247}" name="Social Media Presence (IG/Tiktok Handles)"/>
    <tableColumn id="17" xr3:uid="{EC7715BD-A6BC-4C91-BCA9-2F0E1EFD3B4D}" name="Wait Time" dataDxfId="28"/>
    <tableColumn id="8" xr3:uid="{01D2BF9A-FA2A-4358-9C5C-99D6C4612EB2}" name="Public Menu or Booking" dataDxfId="27"/>
    <tableColumn id="9" xr3:uid="{094F36C8-FC71-445F-A2DE-7244DC099BF7}" name="Current Partners" dataDxfId="26">
      <calculatedColumnFormula>Table_ForecastInput24567456[[#This Row],[Budget per Person (₦)]]*Table_ForecastInput24567456[[#This Row],[Social Media Presence (IG/Tiktok Handles)]]</calculatedColumnFormula>
    </tableColumn>
  </tableColumns>
  <tableStyleInfo name="Business Table" showFirstColumn="0" showLastColumn="0" showRowStripes="0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DA85C4E1-C401-4B37-B248-895299AA285A}" name="Table_ForecastInput245674567" displayName="Table_ForecastInput245674567" ref="B6:M38" totalsRowShown="0" headerRowDxfId="25">
  <autoFilter ref="B6:M38" xr:uid="{00000000-000C-0000-FFFF-FFFF00000000}"/>
  <tableColumns count="12">
    <tableColumn id="1" xr3:uid="{46C239BE-9DE7-40D4-AAEF-558DF23B6C1B}" name="Venue Name"/>
    <tableColumn id="2" xr3:uid="{F30DF5D3-9E7C-4AB8-B034-85581D33A9C2}" name="Menu Type" dataDxfId="5">
      <calculatedColumnFormula>VLOOKUP(Table_ForecastInput245674567[[#This Row],[Venue Name]],'[3]Lekki Venue Data'!$A:$D,4,)</calculatedColumnFormula>
    </tableColumn>
    <tableColumn id="3" xr3:uid="{D5510ED9-C57B-4689-B6CA-E30C3B0E7363}" name="Activity or Things to Note" dataDxfId="4">
      <calculatedColumnFormula>VLOOKUP(Table_ForecastInput245674567[[#This Row],[Venue Name]],'[3]Lekki Venue Data'!$A:$E,5,)</calculatedColumnFormula>
    </tableColumn>
    <tableColumn id="4" xr3:uid="{4782D049-3D10-4FB0-96B1-A9AC245605AF}" name="Address"/>
    <tableColumn id="15" xr3:uid="{FE36CAC8-E39B-434E-AF02-34992725890F}" name="Contact" dataDxfId="3">
      <calculatedColumnFormula>VLOOKUP(Table_ForecastInput245674567[[#This Row],[Venue Name]],'[3]Lekki Venue Data'!$A:$H,8,)</calculatedColumnFormula>
    </tableColumn>
    <tableColumn id="5" xr3:uid="{F421AED0-E726-4055-9255-39507DEB58C8}" name="Budget per Person (₦)" dataDxfId="0">
      <calculatedColumnFormula>VLOOKUP(Table_ForecastInput245674567[[#This Row],[Venue Name]],'[3]Lekki Venue Data'!$A:$F,6,)</calculatedColumnFormula>
    </tableColumn>
    <tableColumn id="10" xr3:uid="{43C864F9-96E2-4DC3-B3C8-E739870460EF}" name="Source" dataDxfId="2">
      <calculatedColumnFormula>VLOOKUP(Table_ForecastInput245674567[[#This Row],[Venue Name]],'[3]Lekki Venue Data'!$A:$G,7,)</calculatedColumnFormula>
    </tableColumn>
    <tableColumn id="6" xr3:uid="{120F9C76-B899-4A63-87BB-E8E6A8328D9F}" name="Opening Time"/>
    <tableColumn id="7" xr3:uid="{2F771D70-71FF-4238-BD67-C79BF9687B30}" name="Social Media Presence (IG/Tiktok Handles)"/>
    <tableColumn id="17" xr3:uid="{6EE21F52-B23B-4196-8F31-77C24196355E}" name="Wait Time" dataDxfId="24"/>
    <tableColumn id="8" xr3:uid="{5036CF75-8AE8-4677-907A-C099B79314CE}" name="Public Menu or Booking" dataDxfId="23"/>
    <tableColumn id="9" xr3:uid="{D9F33BBD-0F5A-40FD-8180-B44F054A3590}" name="Current Partners" dataDxfId="22">
      <calculatedColumnFormula>Table_ForecastInput245674567[[#This Row],[Budget per Person (₦)]]*Table_ForecastInput245674567[[#This Row],[Social Media Presence (IG/Tiktok Handles)]]</calculatedColumnFormula>
    </tableColumn>
  </tableColumns>
  <tableStyleInfo name="Business Table" showFirstColumn="0" showLastColumn="0" showRowStripes="0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E4B05364-5209-41DB-B7D6-1ADB4C04360D}" name="Table_ForecastInput2456745678" displayName="Table_ForecastInput2456745678" ref="B6:L38" totalsRowShown="0" headerRowDxfId="21">
  <autoFilter ref="B6:L38" xr:uid="{00000000-000C-0000-FFFF-FFFF00000000}"/>
  <tableColumns count="11">
    <tableColumn id="1" xr3:uid="{B9DD3BE7-0651-4462-9BC6-4BD5FA6BA2B9}" name="Venue Name"/>
    <tableColumn id="2" xr3:uid="{4B5A80E3-37E3-4375-9202-9A0F8F082300}" name="Menu Type"/>
    <tableColumn id="3" xr3:uid="{7EA99281-EE64-44CC-B7BB-4E406E9ECA02}" name="Activity or Things to Note" dataDxfId="20"/>
    <tableColumn id="4" xr3:uid="{E2669F13-E592-4023-98DA-2104C6C974C6}" name="Address"/>
    <tableColumn id="15" xr3:uid="{C7B3C586-B332-46D3-83A8-396187DA5411}" name="Contact" dataDxfId="19"/>
    <tableColumn id="5" xr3:uid="{B4F2D3B7-D0A2-4678-B661-7375278F11BC}" name="Budget per Person (₦)" dataDxfId="18"/>
    <tableColumn id="6" xr3:uid="{374A7599-180A-4679-9403-B4925389B2FC}" name="Opening Time"/>
    <tableColumn id="7" xr3:uid="{1F3C40EF-5EB0-4844-A007-047E26B7F873}" name="Social Media Presence (IG/Tiktok Handles)"/>
    <tableColumn id="17" xr3:uid="{F54ACDAC-E7A6-44BC-8A6C-D4482F46CAA2}" name="Wait Time" dataDxfId="17"/>
    <tableColumn id="8" xr3:uid="{45597DC0-2A41-47E2-9730-D748B7EC17E3}" name="Public Menu or Booking" dataDxfId="16"/>
    <tableColumn id="9" xr3:uid="{E49851EE-79E4-4768-A605-3314233CB189}" name="Current Partners" dataDxfId="15">
      <calculatedColumnFormula>Table_ForecastInput2456745678[[#This Row],[Budget per Person (₦)]]*Table_ForecastInput2456745678[[#This Row],[Social Media Presence (IG/Tiktok Handles)]]</calculatedColumnFormula>
    </tableColumn>
  </tableColumns>
  <tableStyleInfo name="Business Table" showFirstColumn="0" showLastColumn="0" showRowStripes="0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community@ouidalagos.com,%2009166038000" TargetMode="External"/><Relationship Id="rId2" Type="http://schemas.openxmlformats.org/officeDocument/2006/relationships/hyperlink" Target="mailto:info@cilantrorestaurants.com,%2009081000100" TargetMode="External"/><Relationship Id="rId1" Type="http://schemas.openxmlformats.org/officeDocument/2006/relationships/hyperlink" Target="mailto:info@yellowchilling.com,%2008089948999" TargetMode="External"/><Relationship Id="rId6" Type="http://schemas.openxmlformats.org/officeDocument/2006/relationships/table" Target="../tables/table1.xml"/><Relationship Id="rId5" Type="http://schemas.openxmlformats.org/officeDocument/2006/relationships/drawing" Target="../drawings/drawing1.xml"/><Relationship Id="rId4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table" Target="../tables/table3.xml"/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table" Target="../tables/table4.xml"/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table" Target="../tables/table5.xml"/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table" Target="../tables/table6.xml"/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1" Type="http://schemas.openxmlformats.org/officeDocument/2006/relationships/hyperlink" Target="mailto:placebolagos@gmail.com,%2009041695561" TargetMode="External"/><Relationship Id="rId4" Type="http://schemas.openxmlformats.org/officeDocument/2006/relationships/table" Target="../tables/table7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3E177C-B343-4CE2-966B-6D2B55FDF6DD}">
  <sheetPr>
    <tabColor theme="3"/>
    <pageSetUpPr fitToPage="1"/>
  </sheetPr>
  <dimension ref="A1:M30"/>
  <sheetViews>
    <sheetView showGridLines="0" tabSelected="1" zoomScale="80" zoomScaleNormal="80" workbookViewId="0">
      <selection activeCell="A17" sqref="A17:XFD17"/>
    </sheetView>
  </sheetViews>
  <sheetFormatPr defaultColWidth="9.85546875" defaultRowHeight="21" customHeight="1" x14ac:dyDescent="0.25"/>
  <cols>
    <col min="1" max="1" width="1.7109375" style="1" bestFit="1" customWidth="1"/>
    <col min="2" max="2" width="39.28515625" style="32" bestFit="1" customWidth="1"/>
    <col min="3" max="3" width="61.28515625" style="32" bestFit="1" customWidth="1"/>
    <col min="4" max="4" width="47.140625" style="32" bestFit="1" customWidth="1"/>
    <col min="5" max="5" width="81.5703125" style="32" bestFit="1" customWidth="1"/>
    <col min="6" max="6" width="45.85546875" style="32" bestFit="1" customWidth="1"/>
    <col min="7" max="7" width="33.85546875" style="33" bestFit="1" customWidth="1"/>
    <col min="8" max="8" width="59.42578125" style="32" bestFit="1" customWidth="1"/>
    <col min="9" max="9" width="34.140625" style="34" bestFit="1" customWidth="1"/>
    <col min="10" max="10" width="19.42578125" style="34" bestFit="1" customWidth="1"/>
    <col min="11" max="11" width="24.85546875" style="35" bestFit="1" customWidth="1"/>
    <col min="12" max="12" width="16.42578125" style="35" bestFit="1" customWidth="1"/>
    <col min="13" max="13" width="1.7109375" style="1" bestFit="1" customWidth="1"/>
    <col min="14" max="16384" width="9.85546875" style="4"/>
  </cols>
  <sheetData>
    <row r="1" spans="1:13" ht="20.100000000000001" customHeight="1" x14ac:dyDescent="0.25">
      <c r="A1" s="1" t="s">
        <v>0</v>
      </c>
      <c r="B1" s="1"/>
      <c r="C1" s="2"/>
      <c r="D1" s="2"/>
      <c r="E1" s="2"/>
      <c r="F1" s="2"/>
      <c r="G1" s="1"/>
      <c r="H1" s="1"/>
      <c r="I1" s="1"/>
      <c r="J1" s="1"/>
      <c r="K1" s="3"/>
      <c r="L1" s="3"/>
      <c r="M1" s="1" t="s">
        <v>0</v>
      </c>
    </row>
    <row r="2" spans="1:13" s="10" customFormat="1" ht="30" customHeight="1" x14ac:dyDescent="0.35">
      <c r="A2" s="5"/>
      <c r="B2" s="6" t="s">
        <v>1</v>
      </c>
      <c r="C2" s="7"/>
      <c r="D2" s="7"/>
      <c r="E2" s="7"/>
      <c r="F2" s="7"/>
      <c r="G2" s="5"/>
      <c r="H2" s="8"/>
      <c r="I2" s="8"/>
      <c r="J2" s="8"/>
      <c r="K2" s="9"/>
      <c r="L2" s="9"/>
      <c r="M2" s="5"/>
    </row>
    <row r="3" spans="1:13" s="15" customFormat="1" ht="80.099999999999994" customHeight="1" x14ac:dyDescent="1.05">
      <c r="A3" s="11"/>
      <c r="B3" s="38" t="s">
        <v>2</v>
      </c>
      <c r="C3" s="38"/>
      <c r="D3" s="38"/>
      <c r="E3" s="12"/>
      <c r="F3" s="12"/>
      <c r="G3" s="11"/>
      <c r="H3" s="13"/>
      <c r="I3" s="13"/>
      <c r="J3" s="13"/>
      <c r="K3" s="14"/>
      <c r="L3" s="14"/>
      <c r="M3" s="11"/>
    </row>
    <row r="4" spans="1:13" s="10" customFormat="1" ht="32.1" customHeight="1" x14ac:dyDescent="0.25">
      <c r="A4" s="5"/>
      <c r="B4" s="16" t="s">
        <v>3</v>
      </c>
      <c r="C4" s="7"/>
      <c r="D4" s="7"/>
      <c r="E4" s="7"/>
      <c r="F4" s="7"/>
      <c r="G4" s="5"/>
      <c r="H4" s="8"/>
      <c r="I4" s="8"/>
      <c r="J4" s="8"/>
      <c r="K4" s="9"/>
      <c r="L4" s="9"/>
      <c r="M4" s="5"/>
    </row>
    <row r="5" spans="1:13" ht="24" customHeight="1" x14ac:dyDescent="0.25">
      <c r="B5" s="17"/>
      <c r="C5" s="18"/>
      <c r="D5" s="18"/>
      <c r="E5" s="18"/>
      <c r="F5" s="18"/>
      <c r="G5" s="19"/>
      <c r="H5" s="19"/>
      <c r="I5" s="19"/>
      <c r="J5" s="19"/>
      <c r="K5" s="20"/>
      <c r="L5" s="21"/>
    </row>
    <row r="6" spans="1:13" s="26" customFormat="1" ht="60" customHeight="1" x14ac:dyDescent="0.3">
      <c r="A6" s="22"/>
      <c r="B6" s="23" t="s">
        <v>4</v>
      </c>
      <c r="C6" s="23" t="s">
        <v>5</v>
      </c>
      <c r="D6" s="23" t="s">
        <v>6</v>
      </c>
      <c r="E6" s="23" t="s">
        <v>7</v>
      </c>
      <c r="F6" s="23" t="s">
        <v>8</v>
      </c>
      <c r="G6" s="23" t="s">
        <v>9</v>
      </c>
      <c r="H6" s="23" t="s">
        <v>362</v>
      </c>
      <c r="I6" s="24" t="s">
        <v>11</v>
      </c>
      <c r="J6" s="24" t="s">
        <v>12</v>
      </c>
      <c r="K6" s="25" t="s">
        <v>13</v>
      </c>
      <c r="L6" s="25" t="s">
        <v>14</v>
      </c>
      <c r="M6" s="22"/>
    </row>
    <row r="7" spans="1:13" ht="24" customHeight="1" x14ac:dyDescent="0.25">
      <c r="B7" s="27" t="s">
        <v>15</v>
      </c>
      <c r="C7" s="27" t="s">
        <v>361</v>
      </c>
      <c r="D7" s="27" t="s">
        <v>359</v>
      </c>
      <c r="E7" s="27" t="s">
        <v>394</v>
      </c>
      <c r="F7" s="31" t="s">
        <v>360</v>
      </c>
      <c r="G7" s="28">
        <v>30000</v>
      </c>
      <c r="H7" s="29" t="s">
        <v>363</v>
      </c>
      <c r="I7" s="30" t="s">
        <v>392</v>
      </c>
      <c r="J7" s="31" t="s">
        <v>365</v>
      </c>
      <c r="K7" s="31" t="s">
        <v>371</v>
      </c>
      <c r="L7" s="31" t="s">
        <v>17</v>
      </c>
    </row>
    <row r="8" spans="1:13" ht="24" customHeight="1" x14ac:dyDescent="0.25">
      <c r="B8" s="27" t="s">
        <v>366</v>
      </c>
      <c r="C8" s="27" t="s">
        <v>369</v>
      </c>
      <c r="D8" s="27" t="s">
        <v>367</v>
      </c>
      <c r="E8" s="27" t="s">
        <v>393</v>
      </c>
      <c r="F8" s="31" t="s">
        <v>368</v>
      </c>
      <c r="G8" s="28">
        <v>25000</v>
      </c>
      <c r="H8" s="29" t="s">
        <v>370</v>
      </c>
      <c r="I8" s="30" t="s">
        <v>391</v>
      </c>
      <c r="J8" s="31"/>
      <c r="K8" s="31" t="s">
        <v>371</v>
      </c>
      <c r="L8" s="31" t="s">
        <v>17</v>
      </c>
    </row>
    <row r="9" spans="1:13" ht="24" customHeight="1" x14ac:dyDescent="0.25">
      <c r="B9" s="27" t="s">
        <v>19</v>
      </c>
      <c r="C9" s="27" t="s">
        <v>20</v>
      </c>
      <c r="D9" s="27" t="s">
        <v>21</v>
      </c>
      <c r="E9" s="27" t="s">
        <v>395</v>
      </c>
      <c r="F9" t="s">
        <v>383</v>
      </c>
      <c r="G9" s="28">
        <v>30000</v>
      </c>
      <c r="H9" s="27" t="s">
        <v>384</v>
      </c>
      <c r="I9" s="30" t="s">
        <v>387</v>
      </c>
      <c r="J9" s="31" t="s">
        <v>390</v>
      </c>
      <c r="K9" s="31" t="s">
        <v>388</v>
      </c>
      <c r="L9" s="31" t="s">
        <v>17</v>
      </c>
    </row>
    <row r="10" spans="1:13" ht="24" customHeight="1" x14ac:dyDescent="0.25">
      <c r="B10" s="27" t="s">
        <v>22</v>
      </c>
      <c r="C10" s="27" t="s">
        <v>398</v>
      </c>
      <c r="D10" s="27" t="s">
        <v>399</v>
      </c>
      <c r="E10" s="27" t="s">
        <v>396</v>
      </c>
      <c r="F10" s="37" t="s">
        <v>397</v>
      </c>
      <c r="G10" s="28"/>
      <c r="H10" s="27"/>
      <c r="I10" s="30"/>
      <c r="J10" s="31"/>
      <c r="K10" s="31"/>
      <c r="L10" s="31" t="s">
        <v>17</v>
      </c>
    </row>
    <row r="11" spans="1:13" ht="24" customHeight="1" x14ac:dyDescent="0.25">
      <c r="B11" s="27" t="s">
        <v>403</v>
      </c>
      <c r="C11" s="27" t="s">
        <v>404</v>
      </c>
      <c r="D11" s="27" t="s">
        <v>409</v>
      </c>
      <c r="E11" s="27" t="s">
        <v>405</v>
      </c>
      <c r="F11" s="37" t="s">
        <v>406</v>
      </c>
      <c r="G11" s="28">
        <v>35000</v>
      </c>
      <c r="H11" s="27" t="s">
        <v>408</v>
      </c>
      <c r="I11" s="30" t="s">
        <v>407</v>
      </c>
      <c r="J11" s="31"/>
      <c r="K11" s="31" t="s">
        <v>371</v>
      </c>
      <c r="L11" s="31" t="s">
        <v>17</v>
      </c>
    </row>
    <row r="12" spans="1:13" ht="24" customHeight="1" x14ac:dyDescent="0.25">
      <c r="B12" s="27" t="s">
        <v>400</v>
      </c>
      <c r="C12" s="27" t="s">
        <v>414</v>
      </c>
      <c r="D12" s="27" t="s">
        <v>415</v>
      </c>
      <c r="E12" s="27" t="s">
        <v>410</v>
      </c>
      <c r="F12" s="37" t="s">
        <v>411</v>
      </c>
      <c r="G12" s="28">
        <v>20000</v>
      </c>
      <c r="H12" s="27" t="s">
        <v>412</v>
      </c>
      <c r="I12" s="30" t="s">
        <v>413</v>
      </c>
      <c r="J12" s="31"/>
      <c r="K12" s="31" t="s">
        <v>371</v>
      </c>
      <c r="L12" s="31" t="s">
        <v>17</v>
      </c>
    </row>
    <row r="13" spans="1:13" ht="24" customHeight="1" x14ac:dyDescent="0.25">
      <c r="B13" s="27" t="s">
        <v>23</v>
      </c>
      <c r="C13" s="27" t="s">
        <v>420</v>
      </c>
      <c r="D13" s="27" t="s">
        <v>421</v>
      </c>
      <c r="E13" s="27" t="s">
        <v>416</v>
      </c>
      <c r="F13" t="s">
        <v>419</v>
      </c>
      <c r="G13" s="28">
        <v>35000</v>
      </c>
      <c r="H13" s="27" t="s">
        <v>417</v>
      </c>
      <c r="I13" s="30" t="s">
        <v>418</v>
      </c>
      <c r="J13" s="31"/>
      <c r="K13" s="31" t="s">
        <v>17</v>
      </c>
      <c r="L13" s="31" t="s">
        <v>24</v>
      </c>
    </row>
    <row r="14" spans="1:13" ht="24" customHeight="1" x14ac:dyDescent="0.25">
      <c r="B14" s="27" t="s">
        <v>422</v>
      </c>
      <c r="C14" s="27" t="s">
        <v>423</v>
      </c>
      <c r="D14" s="27" t="s">
        <v>25</v>
      </c>
      <c r="E14" s="27" t="s">
        <v>424</v>
      </c>
      <c r="F14" s="37" t="s">
        <v>425</v>
      </c>
      <c r="G14" s="28">
        <v>70000</v>
      </c>
      <c r="H14" s="27" t="s">
        <v>426</v>
      </c>
      <c r="I14" s="30" t="s">
        <v>427</v>
      </c>
      <c r="J14" s="31"/>
      <c r="K14" s="31" t="s">
        <v>17</v>
      </c>
      <c r="L14" s="31" t="s">
        <v>17</v>
      </c>
    </row>
    <row r="15" spans="1:13" ht="24" customHeight="1" x14ac:dyDescent="0.25">
      <c r="B15" s="27" t="s">
        <v>26</v>
      </c>
      <c r="C15" s="27" t="s">
        <v>428</v>
      </c>
      <c r="D15" s="27" t="s">
        <v>429</v>
      </c>
      <c r="E15" s="27" t="s">
        <v>430</v>
      </c>
      <c r="F15" s="37" t="s">
        <v>431</v>
      </c>
      <c r="G15" s="28">
        <v>25000</v>
      </c>
      <c r="H15" s="27"/>
      <c r="I15" s="30"/>
      <c r="J15" s="31" t="s">
        <v>16</v>
      </c>
      <c r="K15" s="31"/>
      <c r="L15" s="31" t="s">
        <v>28</v>
      </c>
    </row>
    <row r="16" spans="1:13" ht="24" customHeight="1" x14ac:dyDescent="0.25">
      <c r="B16" s="27" t="s">
        <v>432</v>
      </c>
      <c r="C16" s="27" t="s">
        <v>433</v>
      </c>
      <c r="D16" s="27" t="s">
        <v>436</v>
      </c>
      <c r="E16" s="27" t="s">
        <v>434</v>
      </c>
      <c r="F16" s="37" t="s">
        <v>439</v>
      </c>
      <c r="G16" s="28" t="s">
        <v>437</v>
      </c>
      <c r="H16" s="27" t="s">
        <v>438</v>
      </c>
      <c r="I16" s="30" t="s">
        <v>435</v>
      </c>
      <c r="J16" s="31"/>
      <c r="K16" s="31" t="s">
        <v>371</v>
      </c>
      <c r="L16" s="31" t="s">
        <v>17</v>
      </c>
    </row>
    <row r="17" spans="2:12" ht="24" customHeight="1" x14ac:dyDescent="0.25">
      <c r="B17" s="27" t="s">
        <v>36</v>
      </c>
      <c r="C17" s="27" t="s">
        <v>37</v>
      </c>
      <c r="D17" s="27" t="s">
        <v>38</v>
      </c>
      <c r="E17" s="27" t="s">
        <v>468</v>
      </c>
      <c r="F17" s="27"/>
      <c r="G17" s="28">
        <v>12000</v>
      </c>
      <c r="H17" s="27" t="s">
        <v>39</v>
      </c>
      <c r="I17" s="30"/>
      <c r="J17" s="31" t="s">
        <v>39</v>
      </c>
      <c r="K17" s="31" t="s">
        <v>40</v>
      </c>
      <c r="L17" s="31" t="s">
        <v>17</v>
      </c>
    </row>
    <row r="18" spans="2:12" ht="24" customHeight="1" x14ac:dyDescent="0.25">
      <c r="B18" s="27" t="s">
        <v>41</v>
      </c>
      <c r="C18" s="27" t="s">
        <v>42</v>
      </c>
      <c r="D18" s="27" t="s">
        <v>43</v>
      </c>
      <c r="E18" s="27" t="s">
        <v>44</v>
      </c>
      <c r="F18" s="27"/>
      <c r="G18" s="28">
        <v>3000</v>
      </c>
      <c r="H18" s="27"/>
      <c r="I18" s="30"/>
      <c r="J18" s="31" t="s">
        <v>45</v>
      </c>
      <c r="K18" s="31" t="s">
        <v>46</v>
      </c>
      <c r="L18" s="31" t="s">
        <v>47</v>
      </c>
    </row>
    <row r="19" spans="2:12" ht="24" customHeight="1" x14ac:dyDescent="0.25">
      <c r="B19" s="27" t="s">
        <v>48</v>
      </c>
      <c r="C19" s="27" t="s">
        <v>42</v>
      </c>
      <c r="D19" s="27" t="s">
        <v>49</v>
      </c>
      <c r="E19" s="27" t="s">
        <v>44</v>
      </c>
      <c r="F19" s="27"/>
      <c r="G19" s="28">
        <v>3000</v>
      </c>
      <c r="H19" s="27"/>
      <c r="I19" s="30"/>
      <c r="J19" s="31" t="s">
        <v>45</v>
      </c>
      <c r="K19" s="31" t="s">
        <v>46</v>
      </c>
      <c r="L19" s="31" t="s">
        <v>47</v>
      </c>
    </row>
    <row r="20" spans="2:12" ht="24" customHeight="1" x14ac:dyDescent="0.25">
      <c r="B20" s="27" t="s">
        <v>50</v>
      </c>
      <c r="C20" s="27" t="s">
        <v>51</v>
      </c>
      <c r="D20" s="27" t="s">
        <v>52</v>
      </c>
      <c r="E20" s="27" t="s">
        <v>27</v>
      </c>
      <c r="F20" s="27"/>
      <c r="G20" s="28">
        <v>12000</v>
      </c>
      <c r="H20" s="27" t="s">
        <v>53</v>
      </c>
      <c r="I20" s="30"/>
      <c r="J20" s="31" t="s">
        <v>39</v>
      </c>
      <c r="K20" s="31" t="s">
        <v>54</v>
      </c>
      <c r="L20" s="31" t="s">
        <v>28</v>
      </c>
    </row>
    <row r="21" spans="2:12" ht="24" customHeight="1" x14ac:dyDescent="0.25">
      <c r="B21" s="27" t="s">
        <v>55</v>
      </c>
      <c r="C21" s="27" t="s">
        <v>56</v>
      </c>
      <c r="D21" s="27" t="s">
        <v>57</v>
      </c>
      <c r="E21" s="27" t="s">
        <v>469</v>
      </c>
      <c r="F21" s="27"/>
      <c r="G21" s="28">
        <v>30000</v>
      </c>
      <c r="H21" s="27"/>
      <c r="I21" s="30"/>
      <c r="J21" s="31" t="s">
        <v>16</v>
      </c>
      <c r="K21" s="31"/>
      <c r="L21" s="31" t="s">
        <v>17</v>
      </c>
    </row>
    <row r="22" spans="2:12" ht="24" customHeight="1" x14ac:dyDescent="0.25">
      <c r="B22" s="27" t="s">
        <v>58</v>
      </c>
      <c r="C22" s="27" t="s">
        <v>59</v>
      </c>
      <c r="D22" s="27" t="s">
        <v>60</v>
      </c>
      <c r="E22" s="27" t="s">
        <v>469</v>
      </c>
      <c r="F22" s="27"/>
      <c r="G22" s="28">
        <v>25000</v>
      </c>
      <c r="H22" s="27"/>
      <c r="I22" s="30"/>
      <c r="J22" s="31" t="s">
        <v>29</v>
      </c>
      <c r="K22" s="31"/>
      <c r="L22" s="31" t="s">
        <v>17</v>
      </c>
    </row>
    <row r="23" spans="2:12" ht="24" customHeight="1" x14ac:dyDescent="0.25">
      <c r="B23" s="27" t="s">
        <v>61</v>
      </c>
      <c r="C23" s="27" t="s">
        <v>62</v>
      </c>
      <c r="D23" s="27" t="s">
        <v>63</v>
      </c>
      <c r="E23" s="27" t="s">
        <v>64</v>
      </c>
      <c r="F23" s="27"/>
      <c r="G23" s="28">
        <v>45000</v>
      </c>
      <c r="H23" s="27"/>
      <c r="I23" s="30"/>
      <c r="J23" s="31" t="s">
        <v>16</v>
      </c>
      <c r="K23" s="31"/>
      <c r="L23" s="31" t="s">
        <v>65</v>
      </c>
    </row>
    <row r="24" spans="2:12" ht="24" customHeight="1" x14ac:dyDescent="0.25">
      <c r="B24" s="27" t="s">
        <v>66</v>
      </c>
      <c r="C24" s="27" t="s">
        <v>67</v>
      </c>
      <c r="D24" s="27" t="s">
        <v>68</v>
      </c>
      <c r="E24" s="27" t="s">
        <v>64</v>
      </c>
      <c r="F24" s="27"/>
      <c r="G24" s="28">
        <v>35000</v>
      </c>
      <c r="H24" s="27"/>
      <c r="I24" s="30"/>
      <c r="J24" s="31" t="s">
        <v>16</v>
      </c>
      <c r="K24" s="31"/>
      <c r="L24" s="31" t="s">
        <v>65</v>
      </c>
    </row>
    <row r="25" spans="2:12" ht="24" customHeight="1" x14ac:dyDescent="0.25">
      <c r="B25" s="27" t="s">
        <v>69</v>
      </c>
      <c r="C25" s="27" t="s">
        <v>70</v>
      </c>
      <c r="D25" s="27" t="s">
        <v>71</v>
      </c>
      <c r="E25" s="27" t="s">
        <v>470</v>
      </c>
      <c r="F25" s="27"/>
      <c r="G25" s="28">
        <v>7000</v>
      </c>
      <c r="H25" s="27" t="s">
        <v>467</v>
      </c>
      <c r="I25" s="30"/>
      <c r="J25" s="31" t="s">
        <v>33</v>
      </c>
      <c r="K25" s="31" t="s">
        <v>17</v>
      </c>
      <c r="L25" s="31" t="s">
        <v>17</v>
      </c>
    </row>
    <row r="26" spans="2:12" ht="24" customHeight="1" x14ac:dyDescent="0.25">
      <c r="B26" s="27" t="s">
        <v>72</v>
      </c>
      <c r="C26" s="27" t="s">
        <v>73</v>
      </c>
      <c r="D26" s="27" t="s">
        <v>30</v>
      </c>
      <c r="E26" s="27" t="s">
        <v>471</v>
      </c>
      <c r="F26" s="27"/>
      <c r="G26" s="28">
        <v>9000</v>
      </c>
      <c r="H26" s="27"/>
      <c r="I26" s="30"/>
      <c r="J26" s="31" t="s">
        <v>33</v>
      </c>
      <c r="K26" s="31"/>
      <c r="L26" s="31" t="s">
        <v>17</v>
      </c>
    </row>
    <row r="27" spans="2:12" ht="24" customHeight="1" x14ac:dyDescent="0.25">
      <c r="B27" s="27" t="s">
        <v>74</v>
      </c>
      <c r="C27" s="27" t="s">
        <v>32</v>
      </c>
      <c r="D27" s="27" t="s">
        <v>75</v>
      </c>
      <c r="E27" s="27" t="s">
        <v>471</v>
      </c>
      <c r="F27" s="27"/>
      <c r="G27" s="28">
        <v>10000</v>
      </c>
      <c r="H27" s="27"/>
      <c r="I27" s="30"/>
      <c r="J27" s="31" t="s">
        <v>33</v>
      </c>
      <c r="K27" s="31"/>
      <c r="L27" s="31" t="s">
        <v>17</v>
      </c>
    </row>
    <row r="28" spans="2:12" ht="24" customHeight="1" x14ac:dyDescent="0.25">
      <c r="B28" s="27" t="s">
        <v>76</v>
      </c>
      <c r="C28" s="27" t="s">
        <v>35</v>
      </c>
      <c r="D28" s="27" t="s">
        <v>77</v>
      </c>
      <c r="E28" s="27" t="s">
        <v>472</v>
      </c>
      <c r="F28" s="27"/>
      <c r="G28" s="28">
        <v>20000</v>
      </c>
      <c r="H28" s="27" t="s">
        <v>473</v>
      </c>
      <c r="I28" s="30"/>
      <c r="J28" s="31" t="s">
        <v>18</v>
      </c>
      <c r="K28" s="31"/>
      <c r="L28" s="31" t="s">
        <v>17</v>
      </c>
    </row>
    <row r="29" spans="2:12" ht="21" customHeight="1" x14ac:dyDescent="0.25">
      <c r="B29" s="27"/>
      <c r="C29" s="27"/>
      <c r="D29" s="27"/>
      <c r="E29" s="27"/>
      <c r="F29" s="27"/>
      <c r="G29" s="28"/>
      <c r="H29" s="27"/>
      <c r="I29" s="30"/>
      <c r="J29" s="31"/>
      <c r="K29" s="31"/>
      <c r="L29" s="31"/>
    </row>
    <row r="30" spans="2:12" ht="21" customHeight="1" x14ac:dyDescent="0.25">
      <c r="J30" s="35"/>
    </row>
  </sheetData>
  <sheetProtection selectLockedCells="1" selectUnlockedCells="1"/>
  <mergeCells count="1">
    <mergeCell ref="B3:D3"/>
  </mergeCells>
  <dataValidations count="12">
    <dataValidation allowBlank="1" showInputMessage="1" showErrorMessage="1" prompt="Weighted forecast is automatically calculated in this column" sqref="L6" xr:uid="{068CCC3A-F0EC-40B1-B93B-DD9DBD0EFEBD}"/>
    <dataValidation allowBlank="1" showInputMessage="1" showErrorMessage="1" prompt="Enter Forecast close in this column under this heading" sqref="K6" xr:uid="{3994C637-66B9-4DA5-A7C0-913EA111DDFD}"/>
    <dataValidation allowBlank="1" showInputMessage="1" showErrorMessage="1" prompt="Enter Probability of sale in this column under this heading" sqref="I6:J6" xr:uid="{E115CF77-A6AE-45F4-8EBA-53E71BDA4FC5}"/>
    <dataValidation allowBlank="1" showInputMessage="1" showErrorMessage="1" prompt="Select the Sales phase from the dropdown list in each cell in this column. Options are defined in the Lists worksheet. Press ALT+DOWN ARROW to navigate the list, then ENTER to make a selection" sqref="H6" xr:uid="{DA98D3C1-9083-4DEA-AD56-83F5C0687E56}"/>
    <dataValidation allowBlank="1" showInputMessage="1" showErrorMessage="1" prompt="Enter Forecast amount in this column under this heading" sqref="G6" xr:uid="{733C93BB-8F50-44DF-8DAF-95036C098042}"/>
    <dataValidation allowBlank="1" showInputMessage="1" showErrorMessage="1" prompt="Select the Sales category from the dropdown list in each cell in this column. Options are defined in the Lists worksheet. Press ALT+DOWN ARROW to navigate the list, then ENTER to make a selection" sqref="E6:F6" xr:uid="{2F441AC7-1985-4FC2-9C6A-A5D6A9975E77}"/>
    <dataValidation allowBlank="1" showInputMessage="1" showErrorMessage="1" prompt="Select the Sales region from the dropdown list in each cell in this column. Options are defined in the Lists worksheet. Press ALT+DOWN ARROW to navigate the list, then ENTER to make a selection" sqref="D6" xr:uid="{EC27D72F-A911-4D1D-B70C-5F6C80967FA3}"/>
    <dataValidation allowBlank="1" showInputMessage="1" showErrorMessage="1" prompt="Select the Sales agent from the dropdown list in each cell in this column. Options are defined in the Lists worksheet. Press ALT+DOWN ARROW to navigate the list, then ENTER to make a selection" sqref="C6" xr:uid="{EE06E7E2-1295-4188-9ACD-7E624F205C49}"/>
    <dataValidation allowBlank="1" showInputMessage="1" showErrorMessage="1" prompt="Enter Opportunity name in this column under this heading" sqref="B6" xr:uid="{6BF8772D-81BE-407B-9389-DA858465F058}"/>
    <dataValidation allowBlank="1" showInputMessage="1" showErrorMessage="1" prompt="Title of sheet is in this cell" sqref="B3" xr:uid="{0679136D-8B61-4196-AAA7-68219F847DBD}"/>
    <dataValidation allowBlank="1" showInputMessage="1" showErrorMessage="1" prompt="Enter your Company Name in this cell" sqref="B2" xr:uid="{64281023-53CD-49F7-A147-4A0C778B88B0}"/>
    <dataValidation allowBlank="1" showInputMessage="1" showErrorMessage="1" prompt="Enter your Company Name in cell B2._x000a__x000a_Clear the table below and enter your own Forecast Input data. To manage the available options for the dropdowns, go to Lists Tab." sqref="A1" xr:uid="{86C96407-0FD1-4A50-A151-4CA877D2C068}"/>
  </dataValidations>
  <hyperlinks>
    <hyperlink ref="F7" r:id="rId1" xr:uid="{AFB19E25-818B-489F-9F0B-D43312F27908}"/>
    <hyperlink ref="F8" r:id="rId2" xr:uid="{1C2C6CAA-317C-4921-82C4-374DAC4FE800}"/>
    <hyperlink ref="F16" r:id="rId3" xr:uid="{EC725C9A-7543-431D-BB4E-CC2389CEB9B2}"/>
  </hyperlinks>
  <printOptions horizontalCentered="1"/>
  <pageMargins left="0.25" right="0.25" top="0.75" bottom="0.75" header="0.3" footer="0.3"/>
  <pageSetup scale="62" fitToHeight="0" orientation="landscape" r:id="rId4"/>
  <drawing r:id="rId5"/>
  <tableParts count="1">
    <tablePart r:id="rId6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E21B52-37AB-4B3B-B1ED-D6FC673D5FD1}">
  <sheetPr>
    <tabColor theme="3"/>
    <pageSetUpPr fitToPage="1"/>
  </sheetPr>
  <dimension ref="A1:O58"/>
  <sheetViews>
    <sheetView showGridLines="0" topLeftCell="A40" zoomScale="80" zoomScaleNormal="80" workbookViewId="0">
      <selection activeCell="G12" sqref="G12"/>
    </sheetView>
  </sheetViews>
  <sheetFormatPr defaultColWidth="9.85546875" defaultRowHeight="21" customHeight="1" x14ac:dyDescent="0.25"/>
  <cols>
    <col min="1" max="1" width="4.28515625" style="1" customWidth="1"/>
    <col min="2" max="2" width="44.42578125" style="32" bestFit="1" customWidth="1"/>
    <col min="3" max="3" width="69.28515625" style="32" bestFit="1" customWidth="1"/>
    <col min="4" max="4" width="86.5703125" style="32" bestFit="1" customWidth="1"/>
    <col min="5" max="5" width="65.5703125" style="32" bestFit="1" customWidth="1"/>
    <col min="6" max="6" width="33.85546875" style="33" bestFit="1" customWidth="1"/>
    <col min="7" max="7" width="85.7109375" style="33" bestFit="1" customWidth="1"/>
    <col min="8" max="8" width="16" style="32" bestFit="1" customWidth="1"/>
    <col min="9" max="9" width="27.7109375" bestFit="1" customWidth="1"/>
    <col min="10" max="10" width="38.7109375" style="32" bestFit="1" customWidth="1"/>
    <col min="11" max="11" width="34.28515625" style="34" bestFit="1" customWidth="1"/>
    <col min="12" max="12" width="25.5703125" style="34" bestFit="1" customWidth="1"/>
    <col min="13" max="13" width="26" style="35" bestFit="1" customWidth="1"/>
    <col min="14" max="14" width="20" style="35" bestFit="1" customWidth="1"/>
    <col min="15" max="15" width="2" style="1" bestFit="1" customWidth="1"/>
    <col min="16" max="16384" width="9.85546875" style="4"/>
  </cols>
  <sheetData>
    <row r="1" spans="1:15" ht="20.100000000000001" customHeight="1" x14ac:dyDescent="0.25">
      <c r="B1" s="1"/>
      <c r="C1" s="2"/>
      <c r="D1" s="2"/>
      <c r="E1" s="2"/>
      <c r="F1" s="1"/>
      <c r="G1" s="1"/>
      <c r="H1" s="2"/>
      <c r="I1" s="1"/>
      <c r="J1" s="1"/>
      <c r="K1" s="1"/>
      <c r="L1" s="3"/>
      <c r="M1" s="3"/>
      <c r="N1" s="1" t="s">
        <v>0</v>
      </c>
      <c r="O1" s="4"/>
    </row>
    <row r="2" spans="1:15" s="10" customFormat="1" ht="30" customHeight="1" x14ac:dyDescent="0.35">
      <c r="A2" s="5"/>
      <c r="B2" s="6" t="s">
        <v>1</v>
      </c>
      <c r="C2" s="7"/>
      <c r="D2" s="7"/>
      <c r="E2" s="7"/>
      <c r="F2" s="5"/>
      <c r="G2" s="5"/>
      <c r="H2" s="7"/>
      <c r="I2" s="8"/>
      <c r="J2" s="8"/>
      <c r="K2" s="8"/>
      <c r="L2" s="9"/>
      <c r="M2" s="9"/>
      <c r="N2" s="5"/>
    </row>
    <row r="3" spans="1:15" s="15" customFormat="1" ht="80.099999999999994" customHeight="1" x14ac:dyDescent="1.05">
      <c r="A3" s="11"/>
      <c r="B3" s="38" t="s">
        <v>183</v>
      </c>
      <c r="C3" s="38"/>
      <c r="D3" s="38"/>
      <c r="E3" s="12"/>
      <c r="F3" s="11"/>
      <c r="G3" s="11"/>
      <c r="H3" s="12"/>
      <c r="I3" s="13"/>
      <c r="J3" s="13"/>
      <c r="K3" s="13"/>
      <c r="L3" s="14"/>
      <c r="M3" s="14"/>
      <c r="N3" s="11"/>
    </row>
    <row r="4" spans="1:15" s="10" customFormat="1" ht="32.1" customHeight="1" x14ac:dyDescent="0.25">
      <c r="A4" s="5"/>
      <c r="B4" s="16" t="s">
        <v>3</v>
      </c>
      <c r="C4" s="7"/>
      <c r="D4" s="7"/>
      <c r="E4" s="7"/>
      <c r="F4" s="5"/>
      <c r="G4" s="5"/>
      <c r="H4" s="7"/>
      <c r="I4" s="8"/>
      <c r="J4" s="8"/>
      <c r="K4" s="8"/>
      <c r="L4" s="9"/>
      <c r="M4" s="9"/>
      <c r="N4" s="5"/>
    </row>
    <row r="5" spans="1:15" ht="24" customHeight="1" x14ac:dyDescent="0.25">
      <c r="B5" s="17"/>
      <c r="C5" s="18"/>
      <c r="D5" s="18"/>
      <c r="E5" s="18"/>
      <c r="F5" s="19"/>
      <c r="G5" s="19"/>
      <c r="H5" s="18"/>
      <c r="I5" s="19"/>
      <c r="J5" s="19"/>
      <c r="K5" s="19"/>
      <c r="L5" s="20"/>
      <c r="M5" s="21"/>
      <c r="N5" s="1"/>
      <c r="O5" s="4"/>
    </row>
    <row r="6" spans="1:15" s="26" customFormat="1" ht="60" customHeight="1" x14ac:dyDescent="0.3">
      <c r="A6" s="22"/>
      <c r="B6" s="23" t="s">
        <v>4</v>
      </c>
      <c r="C6" s="23" t="s">
        <v>5</v>
      </c>
      <c r="D6" s="23" t="s">
        <v>6</v>
      </c>
      <c r="E6" s="23" t="s">
        <v>7</v>
      </c>
      <c r="F6" s="23" t="s">
        <v>9</v>
      </c>
      <c r="G6" s="23" t="s">
        <v>440</v>
      </c>
      <c r="H6" s="23" t="s">
        <v>8</v>
      </c>
      <c r="I6" s="23" t="s">
        <v>10</v>
      </c>
      <c r="J6" s="24" t="s">
        <v>11</v>
      </c>
      <c r="K6" s="24" t="s">
        <v>12</v>
      </c>
      <c r="L6" s="25" t="s">
        <v>13</v>
      </c>
      <c r="M6" s="25" t="s">
        <v>14</v>
      </c>
      <c r="N6" s="22"/>
    </row>
    <row r="7" spans="1:15" ht="24" customHeight="1" x14ac:dyDescent="0.25">
      <c r="B7" s="27" t="s">
        <v>378</v>
      </c>
      <c r="C7" s="27" t="s">
        <v>379</v>
      </c>
      <c r="D7" s="27" t="s">
        <v>380</v>
      </c>
      <c r="E7" s="27" t="s">
        <v>381</v>
      </c>
      <c r="F7" s="28">
        <v>45000</v>
      </c>
      <c r="G7" s="28" t="s">
        <v>659</v>
      </c>
      <c r="H7" s="43"/>
      <c r="I7" s="29" t="s">
        <v>633</v>
      </c>
      <c r="J7" s="30" t="s">
        <v>382</v>
      </c>
      <c r="K7" s="31"/>
      <c r="L7" s="31"/>
      <c r="M7" s="31"/>
      <c r="N7" s="1"/>
      <c r="O7" s="4"/>
    </row>
    <row r="8" spans="1:15" ht="24" customHeight="1" x14ac:dyDescent="0.25">
      <c r="B8" s="27" t="s">
        <v>267</v>
      </c>
      <c r="C8" s="27" t="s">
        <v>550</v>
      </c>
      <c r="D8" s="27" t="s">
        <v>590</v>
      </c>
      <c r="E8" s="27" t="s">
        <v>317</v>
      </c>
      <c r="F8" s="28">
        <v>50000</v>
      </c>
      <c r="G8" s="28" t="s">
        <v>658</v>
      </c>
      <c r="H8" s="43"/>
      <c r="I8" s="29"/>
      <c r="J8" s="30"/>
      <c r="K8" s="31"/>
      <c r="L8" s="31"/>
      <c r="M8" s="31"/>
      <c r="N8" s="1"/>
      <c r="O8" s="4"/>
    </row>
    <row r="9" spans="1:15" ht="24" customHeight="1" x14ac:dyDescent="0.25">
      <c r="B9" s="27" t="s">
        <v>268</v>
      </c>
      <c r="C9" s="27" t="s">
        <v>551</v>
      </c>
      <c r="D9" s="27" t="s">
        <v>591</v>
      </c>
      <c r="E9" s="27" t="s">
        <v>318</v>
      </c>
      <c r="F9" s="28">
        <v>40000</v>
      </c>
      <c r="G9" s="28" t="s">
        <v>657</v>
      </c>
      <c r="H9" s="43"/>
      <c r="I9" s="27"/>
      <c r="J9" s="30"/>
      <c r="K9" s="31"/>
      <c r="L9" s="31"/>
      <c r="M9" s="31"/>
      <c r="N9" s="1"/>
      <c r="O9" s="4"/>
    </row>
    <row r="10" spans="1:15" ht="24" customHeight="1" x14ac:dyDescent="0.25">
      <c r="B10" s="27" t="s">
        <v>401</v>
      </c>
      <c r="C10" s="27" t="s">
        <v>552</v>
      </c>
      <c r="D10" s="27" t="s">
        <v>592</v>
      </c>
      <c r="E10" s="27" t="s">
        <v>402</v>
      </c>
      <c r="F10" s="28">
        <v>8000</v>
      </c>
      <c r="G10" s="28"/>
      <c r="H10" s="43"/>
      <c r="I10" s="27"/>
      <c r="J10" s="30"/>
      <c r="K10" s="31"/>
      <c r="L10" s="31"/>
      <c r="M10" s="31"/>
      <c r="N10" s="1"/>
      <c r="O10" s="4"/>
    </row>
    <row r="11" spans="1:15" ht="24" customHeight="1" x14ac:dyDescent="0.25">
      <c r="B11" s="27" t="s">
        <v>269</v>
      </c>
      <c r="C11" s="27" t="s">
        <v>553</v>
      </c>
      <c r="D11" s="27" t="s">
        <v>593</v>
      </c>
      <c r="E11" s="27" t="s">
        <v>319</v>
      </c>
      <c r="F11" s="28">
        <v>35000</v>
      </c>
      <c r="G11" s="28"/>
      <c r="H11" s="43"/>
      <c r="I11" s="27"/>
      <c r="J11" s="30"/>
      <c r="K11" s="31"/>
      <c r="L11" s="31"/>
      <c r="M11" s="31"/>
      <c r="N11" s="1"/>
      <c r="O11" s="4"/>
    </row>
    <row r="12" spans="1:15" ht="24" customHeight="1" x14ac:dyDescent="0.25">
      <c r="B12" s="27" t="s">
        <v>270</v>
      </c>
      <c r="C12" s="27" t="s">
        <v>554</v>
      </c>
      <c r="D12" s="27" t="s">
        <v>594</v>
      </c>
      <c r="E12" s="27" t="s">
        <v>320</v>
      </c>
      <c r="F12" s="28">
        <v>30000</v>
      </c>
      <c r="G12" s="28"/>
      <c r="H12" s="44"/>
      <c r="I12" s="27"/>
      <c r="J12" s="30"/>
      <c r="K12" s="31"/>
      <c r="L12" s="31"/>
      <c r="M12" s="31"/>
      <c r="N12" s="1"/>
      <c r="O12" s="4"/>
    </row>
    <row r="13" spans="1:15" ht="24" customHeight="1" x14ac:dyDescent="0.25">
      <c r="B13" s="27" t="s">
        <v>271</v>
      </c>
      <c r="C13" s="27" t="s">
        <v>555</v>
      </c>
      <c r="D13" s="27" t="s">
        <v>595</v>
      </c>
      <c r="E13" s="27" t="s">
        <v>321</v>
      </c>
      <c r="F13" s="28">
        <v>25000</v>
      </c>
      <c r="G13" s="28"/>
      <c r="H13" s="44"/>
      <c r="I13" s="27"/>
      <c r="J13" s="30"/>
      <c r="K13" s="31"/>
      <c r="L13" s="31"/>
      <c r="M13" s="31"/>
      <c r="N13" s="1"/>
      <c r="O13" s="4"/>
    </row>
    <row r="14" spans="1:15" ht="24" customHeight="1" x14ac:dyDescent="0.25">
      <c r="B14" s="27" t="s">
        <v>272</v>
      </c>
      <c r="C14" s="27" t="s">
        <v>556</v>
      </c>
      <c r="D14" s="27" t="s">
        <v>596</v>
      </c>
      <c r="E14" s="27" t="s">
        <v>322</v>
      </c>
      <c r="F14" s="28">
        <v>35000</v>
      </c>
      <c r="G14" s="28"/>
      <c r="H14" s="44"/>
      <c r="I14" s="27"/>
      <c r="J14" s="30"/>
      <c r="K14" s="31"/>
      <c r="L14" s="31"/>
      <c r="M14" s="31"/>
      <c r="N14" s="1"/>
      <c r="O14" s="4"/>
    </row>
    <row r="15" spans="1:15" ht="24" customHeight="1" x14ac:dyDescent="0.25">
      <c r="B15" s="27" t="s">
        <v>273</v>
      </c>
      <c r="C15" s="27" t="s">
        <v>557</v>
      </c>
      <c r="D15" s="27" t="s">
        <v>597</v>
      </c>
      <c r="E15" s="27" t="s">
        <v>323</v>
      </c>
      <c r="F15" s="28" t="s">
        <v>541</v>
      </c>
      <c r="G15" s="28" t="s">
        <v>656</v>
      </c>
      <c r="H15"/>
      <c r="I15" s="27"/>
      <c r="J15" s="30"/>
      <c r="K15" s="31"/>
      <c r="L15" s="31"/>
      <c r="M15" s="31"/>
      <c r="N15" s="1"/>
      <c r="O15" s="4"/>
    </row>
    <row r="16" spans="1:15" ht="24" customHeight="1" x14ac:dyDescent="0.25">
      <c r="B16" s="27" t="s">
        <v>274</v>
      </c>
      <c r="C16" s="27" t="s">
        <v>558</v>
      </c>
      <c r="D16" s="27" t="s">
        <v>598</v>
      </c>
      <c r="E16" s="27" t="s">
        <v>324</v>
      </c>
      <c r="F16" s="28">
        <v>50000</v>
      </c>
      <c r="G16" s="28"/>
      <c r="H16" s="43"/>
      <c r="I16" s="27"/>
      <c r="J16" s="30"/>
      <c r="K16" s="31"/>
      <c r="L16" s="31"/>
      <c r="M16" s="31"/>
      <c r="N16" s="1"/>
      <c r="O16" s="4"/>
    </row>
    <row r="17" spans="2:15" ht="24" customHeight="1" x14ac:dyDescent="0.25">
      <c r="B17" s="27" t="s">
        <v>275</v>
      </c>
      <c r="C17" s="27" t="s">
        <v>559</v>
      </c>
      <c r="D17" s="27" t="s">
        <v>599</v>
      </c>
      <c r="E17" s="27" t="s">
        <v>325</v>
      </c>
      <c r="F17" s="28">
        <v>50000</v>
      </c>
      <c r="G17" s="28" t="s">
        <v>655</v>
      </c>
      <c r="H17" s="43"/>
      <c r="I17" s="27"/>
      <c r="J17" s="30"/>
      <c r="K17" s="31"/>
      <c r="L17" s="31"/>
      <c r="M17" s="31"/>
      <c r="N17" s="1"/>
      <c r="O17" s="4"/>
    </row>
    <row r="18" spans="2:15" ht="24" customHeight="1" x14ac:dyDescent="0.25">
      <c r="B18" s="27" t="s">
        <v>276</v>
      </c>
      <c r="C18" s="27" t="s">
        <v>560</v>
      </c>
      <c r="D18" s="27" t="s">
        <v>594</v>
      </c>
      <c r="E18" s="27" t="s">
        <v>326</v>
      </c>
      <c r="F18" s="28">
        <v>40000</v>
      </c>
      <c r="G18" s="28"/>
      <c r="H18" s="43"/>
      <c r="I18" s="27"/>
      <c r="J18" s="30"/>
      <c r="K18" s="31"/>
      <c r="L18" s="31"/>
      <c r="M18" s="31"/>
      <c r="N18" s="1"/>
      <c r="O18" s="4"/>
    </row>
    <row r="19" spans="2:15" s="1" customFormat="1" ht="24" customHeight="1" x14ac:dyDescent="0.25">
      <c r="B19" s="27" t="s">
        <v>277</v>
      </c>
      <c r="C19" s="27" t="s">
        <v>561</v>
      </c>
      <c r="D19" s="27" t="s">
        <v>594</v>
      </c>
      <c r="E19" s="27" t="s">
        <v>327</v>
      </c>
      <c r="F19" s="28">
        <v>30000</v>
      </c>
      <c r="G19" s="28"/>
      <c r="H19" s="43"/>
      <c r="I19" s="27"/>
      <c r="J19" s="30"/>
      <c r="K19" s="31"/>
      <c r="L19" s="31"/>
      <c r="M19" s="31"/>
    </row>
    <row r="20" spans="2:15" s="1" customFormat="1" ht="24" customHeight="1" x14ac:dyDescent="0.25">
      <c r="B20" s="27" t="s">
        <v>278</v>
      </c>
      <c r="C20" s="27" t="s">
        <v>562</v>
      </c>
      <c r="D20" s="27" t="s">
        <v>600</v>
      </c>
      <c r="E20" s="27" t="s">
        <v>328</v>
      </c>
      <c r="F20" s="28">
        <v>25000</v>
      </c>
      <c r="G20" s="28" t="s">
        <v>654</v>
      </c>
      <c r="H20" s="43"/>
      <c r="I20" s="27"/>
      <c r="J20" s="30"/>
      <c r="K20" s="31"/>
      <c r="L20" s="31"/>
      <c r="M20" s="31"/>
    </row>
    <row r="21" spans="2:15" s="1" customFormat="1" ht="24" customHeight="1" x14ac:dyDescent="0.25">
      <c r="B21" s="27" t="s">
        <v>279</v>
      </c>
      <c r="C21" s="27" t="s">
        <v>563</v>
      </c>
      <c r="D21" s="27" t="s">
        <v>601</v>
      </c>
      <c r="E21" s="27" t="s">
        <v>329</v>
      </c>
      <c r="F21" s="28">
        <v>30000</v>
      </c>
      <c r="G21" s="28" t="s">
        <v>653</v>
      </c>
      <c r="H21" s="43"/>
      <c r="I21" s="27"/>
      <c r="J21" s="30"/>
      <c r="K21" s="31"/>
      <c r="L21" s="31"/>
      <c r="M21" s="31"/>
    </row>
    <row r="22" spans="2:15" s="1" customFormat="1" ht="24" customHeight="1" x14ac:dyDescent="0.25">
      <c r="B22" s="27" t="s">
        <v>280</v>
      </c>
      <c r="C22" s="27" t="s">
        <v>564</v>
      </c>
      <c r="D22" s="27" t="s">
        <v>596</v>
      </c>
      <c r="E22" s="27" t="s">
        <v>330</v>
      </c>
      <c r="F22" s="28">
        <v>25000</v>
      </c>
      <c r="G22" s="28"/>
      <c r="H22" s="43"/>
      <c r="I22" s="27"/>
      <c r="J22" s="30"/>
      <c r="K22" s="31"/>
      <c r="L22" s="31"/>
      <c r="M22" s="31"/>
    </row>
    <row r="23" spans="2:15" s="1" customFormat="1" ht="24" customHeight="1" x14ac:dyDescent="0.25">
      <c r="B23" s="27" t="s">
        <v>281</v>
      </c>
      <c r="C23" s="27" t="s">
        <v>565</v>
      </c>
      <c r="D23" s="27" t="s">
        <v>602</v>
      </c>
      <c r="E23" s="27" t="s">
        <v>330</v>
      </c>
      <c r="F23" s="28">
        <v>15000</v>
      </c>
      <c r="G23" s="28"/>
      <c r="H23" s="43"/>
      <c r="I23" s="27"/>
      <c r="J23" s="30"/>
      <c r="K23" s="31"/>
      <c r="L23" s="31"/>
      <c r="M23" s="31"/>
    </row>
    <row r="24" spans="2:15" s="1" customFormat="1" ht="24" customHeight="1" x14ac:dyDescent="0.25">
      <c r="B24" s="27" t="s">
        <v>282</v>
      </c>
      <c r="C24" s="27" t="s">
        <v>566</v>
      </c>
      <c r="D24" s="27" t="s">
        <v>603</v>
      </c>
      <c r="E24" s="27" t="s">
        <v>331</v>
      </c>
      <c r="F24" s="28">
        <v>30000</v>
      </c>
      <c r="G24" s="28"/>
      <c r="H24" s="43"/>
      <c r="I24" s="27"/>
      <c r="J24" s="30"/>
      <c r="K24" s="31"/>
      <c r="L24" s="31"/>
      <c r="M24" s="31"/>
    </row>
    <row r="25" spans="2:15" s="1" customFormat="1" ht="24" customHeight="1" x14ac:dyDescent="0.25">
      <c r="B25" s="27" t="s">
        <v>283</v>
      </c>
      <c r="C25" s="27" t="s">
        <v>567</v>
      </c>
      <c r="D25" s="27" t="s">
        <v>604</v>
      </c>
      <c r="E25" s="27" t="s">
        <v>332</v>
      </c>
      <c r="F25" s="28">
        <v>50000</v>
      </c>
      <c r="G25" s="28"/>
      <c r="H25" s="43"/>
      <c r="I25" s="27"/>
      <c r="J25" s="30"/>
      <c r="K25" s="31"/>
      <c r="L25" s="31"/>
      <c r="M25" s="31"/>
    </row>
    <row r="26" spans="2:15" s="1" customFormat="1" ht="24" customHeight="1" x14ac:dyDescent="0.25">
      <c r="B26" s="27" t="s">
        <v>284</v>
      </c>
      <c r="C26" s="27" t="s">
        <v>568</v>
      </c>
      <c r="D26" s="27" t="s">
        <v>605</v>
      </c>
      <c r="E26" s="27" t="s">
        <v>333</v>
      </c>
      <c r="F26" s="28">
        <v>40000</v>
      </c>
      <c r="G26" s="28"/>
      <c r="H26" s="43"/>
      <c r="I26" s="27"/>
      <c r="J26" s="30"/>
      <c r="K26" s="31"/>
      <c r="L26" s="31"/>
      <c r="M26" s="31"/>
    </row>
    <row r="27" spans="2:15" s="1" customFormat="1" ht="24" customHeight="1" x14ac:dyDescent="0.25">
      <c r="B27" s="27" t="s">
        <v>285</v>
      </c>
      <c r="C27" s="27" t="s">
        <v>569</v>
      </c>
      <c r="D27" s="27" t="s">
        <v>596</v>
      </c>
      <c r="E27" s="27" t="s">
        <v>334</v>
      </c>
      <c r="F27" s="28">
        <v>35000</v>
      </c>
      <c r="G27" s="28"/>
      <c r="H27" s="43"/>
      <c r="I27" s="27"/>
      <c r="J27" s="30"/>
      <c r="K27" s="31"/>
      <c r="L27" s="31"/>
      <c r="M27" s="31"/>
    </row>
    <row r="28" spans="2:15" s="1" customFormat="1" ht="24" customHeight="1" x14ac:dyDescent="0.25">
      <c r="B28" s="27" t="s">
        <v>286</v>
      </c>
      <c r="C28" s="27" t="s">
        <v>570</v>
      </c>
      <c r="D28" s="27" t="s">
        <v>606</v>
      </c>
      <c r="E28" s="27" t="s">
        <v>335</v>
      </c>
      <c r="F28" s="28">
        <v>15000</v>
      </c>
      <c r="G28" s="28"/>
      <c r="H28" s="43"/>
      <c r="I28" s="27"/>
      <c r="J28" s="30"/>
      <c r="K28" s="31"/>
      <c r="L28" s="31"/>
      <c r="M28" s="31"/>
    </row>
    <row r="29" spans="2:15" s="1" customFormat="1" ht="24" customHeight="1" x14ac:dyDescent="0.25">
      <c r="B29" s="27" t="s">
        <v>287</v>
      </c>
      <c r="C29" s="27" t="s">
        <v>571</v>
      </c>
      <c r="D29" s="27" t="s">
        <v>607</v>
      </c>
      <c r="E29" s="27" t="s">
        <v>336</v>
      </c>
      <c r="F29" s="28">
        <v>50000</v>
      </c>
      <c r="G29" s="28" t="s">
        <v>652</v>
      </c>
      <c r="H29" s="43"/>
      <c r="I29" s="27"/>
      <c r="J29" s="30"/>
      <c r="K29" s="31"/>
      <c r="L29" s="31"/>
      <c r="M29" s="31"/>
    </row>
    <row r="30" spans="2:15" s="1" customFormat="1" ht="24" customHeight="1" x14ac:dyDescent="0.25">
      <c r="B30" s="27" t="s">
        <v>288</v>
      </c>
      <c r="C30" s="27" t="s">
        <v>556</v>
      </c>
      <c r="D30" s="27" t="s">
        <v>596</v>
      </c>
      <c r="E30" s="27" t="s">
        <v>337</v>
      </c>
      <c r="F30" s="28">
        <v>40000</v>
      </c>
      <c r="G30" s="28"/>
      <c r="H30" s="43"/>
      <c r="I30" s="27"/>
      <c r="J30" s="30"/>
      <c r="K30" s="31"/>
      <c r="L30" s="31"/>
      <c r="M30" s="31"/>
    </row>
    <row r="31" spans="2:15" s="1" customFormat="1" ht="24" customHeight="1" x14ac:dyDescent="0.25">
      <c r="B31" s="27" t="s">
        <v>289</v>
      </c>
      <c r="C31" s="27" t="s">
        <v>572</v>
      </c>
      <c r="D31" s="27" t="s">
        <v>608</v>
      </c>
      <c r="E31" s="27" t="s">
        <v>338</v>
      </c>
      <c r="F31" s="28">
        <v>60000</v>
      </c>
      <c r="G31" s="28" t="s">
        <v>651</v>
      </c>
      <c r="H31" s="43"/>
      <c r="I31" s="27"/>
      <c r="J31" s="30"/>
      <c r="K31" s="31"/>
      <c r="L31" s="31"/>
      <c r="M31" s="31"/>
    </row>
    <row r="32" spans="2:15" s="1" customFormat="1" ht="24" customHeight="1" x14ac:dyDescent="0.25">
      <c r="B32" s="27" t="s">
        <v>290</v>
      </c>
      <c r="C32" s="27" t="s">
        <v>573</v>
      </c>
      <c r="D32" s="27" t="s">
        <v>609</v>
      </c>
      <c r="E32" s="27" t="s">
        <v>339</v>
      </c>
      <c r="F32" s="28" t="s">
        <v>541</v>
      </c>
      <c r="G32" s="28" t="s">
        <v>650</v>
      </c>
      <c r="H32" s="27"/>
      <c r="I32" s="27"/>
      <c r="J32" s="30"/>
      <c r="K32" s="31"/>
      <c r="L32" s="31"/>
      <c r="M32" s="31"/>
    </row>
    <row r="33" spans="2:15" s="1" customFormat="1" ht="24" customHeight="1" x14ac:dyDescent="0.25">
      <c r="B33" s="27" t="s">
        <v>291</v>
      </c>
      <c r="C33" s="27" t="s">
        <v>574</v>
      </c>
      <c r="D33" s="27" t="s">
        <v>610</v>
      </c>
      <c r="E33" s="27" t="s">
        <v>340</v>
      </c>
      <c r="F33" s="28">
        <v>50000</v>
      </c>
      <c r="G33" s="28" t="s">
        <v>649</v>
      </c>
      <c r="H33" s="43"/>
      <c r="I33" s="27"/>
      <c r="J33" s="30"/>
      <c r="K33" s="31"/>
      <c r="L33" s="31"/>
      <c r="M33" s="31"/>
    </row>
    <row r="34" spans="2:15" s="1" customFormat="1" ht="24" customHeight="1" x14ac:dyDescent="0.25">
      <c r="B34" s="27" t="s">
        <v>292</v>
      </c>
      <c r="C34" s="27" t="s">
        <v>575</v>
      </c>
      <c r="D34" s="27" t="s">
        <v>611</v>
      </c>
      <c r="E34" s="27" t="s">
        <v>341</v>
      </c>
      <c r="F34" s="28">
        <v>30000</v>
      </c>
      <c r="G34" s="28" t="s">
        <v>648</v>
      </c>
      <c r="H34" s="43"/>
      <c r="I34" s="27"/>
      <c r="J34" s="30"/>
      <c r="K34" s="31"/>
      <c r="L34" s="31"/>
      <c r="M34" s="31"/>
    </row>
    <row r="35" spans="2:15" s="1" customFormat="1" ht="24" customHeight="1" x14ac:dyDescent="0.25">
      <c r="B35" s="27" t="s">
        <v>293</v>
      </c>
      <c r="C35" s="27" t="s">
        <v>569</v>
      </c>
      <c r="D35" s="27" t="s">
        <v>596</v>
      </c>
      <c r="E35" s="27" t="s">
        <v>342</v>
      </c>
      <c r="F35" s="28">
        <v>35000</v>
      </c>
      <c r="G35" s="28"/>
      <c r="H35" s="43"/>
      <c r="I35" s="27"/>
      <c r="J35" s="30"/>
      <c r="K35" s="31"/>
      <c r="L35" s="31"/>
      <c r="M35" s="31"/>
    </row>
    <row r="36" spans="2:15" s="1" customFormat="1" ht="24" customHeight="1" x14ac:dyDescent="0.25">
      <c r="B36" s="27" t="s">
        <v>294</v>
      </c>
      <c r="C36" s="27" t="s">
        <v>576</v>
      </c>
      <c r="D36" s="27" t="s">
        <v>612</v>
      </c>
      <c r="E36" s="27" t="s">
        <v>343</v>
      </c>
      <c r="F36" s="28">
        <v>12000</v>
      </c>
      <c r="G36" s="28" t="s">
        <v>647</v>
      </c>
      <c r="H36" s="43"/>
      <c r="I36" s="27"/>
      <c r="J36" s="30"/>
      <c r="K36" s="31"/>
      <c r="L36" s="31"/>
      <c r="M36" s="31"/>
    </row>
    <row r="37" spans="2:15" s="1" customFormat="1" ht="24" customHeight="1" x14ac:dyDescent="0.25">
      <c r="B37" s="27" t="s">
        <v>295</v>
      </c>
      <c r="C37" s="27" t="s">
        <v>543</v>
      </c>
      <c r="D37" s="27" t="s">
        <v>613</v>
      </c>
      <c r="E37" s="27" t="s">
        <v>344</v>
      </c>
      <c r="F37" s="28">
        <v>40000</v>
      </c>
      <c r="G37" s="28"/>
      <c r="H37" s="43"/>
      <c r="I37" s="27"/>
      <c r="J37" s="30"/>
      <c r="K37" s="31"/>
      <c r="L37" s="31"/>
      <c r="M37" s="31"/>
    </row>
    <row r="38" spans="2:15" s="1" customFormat="1" ht="24" customHeight="1" x14ac:dyDescent="0.25">
      <c r="B38" s="27" t="s">
        <v>296</v>
      </c>
      <c r="C38" s="27" t="s">
        <v>544</v>
      </c>
      <c r="D38" s="27" t="s">
        <v>614</v>
      </c>
      <c r="E38" s="27" t="s">
        <v>345</v>
      </c>
      <c r="F38" s="28">
        <v>25000</v>
      </c>
      <c r="G38" s="28" t="s">
        <v>646</v>
      </c>
      <c r="H38" s="43"/>
      <c r="I38" s="27"/>
      <c r="J38" s="30"/>
      <c r="K38" s="31"/>
      <c r="L38" s="31"/>
      <c r="M38" s="31"/>
    </row>
    <row r="39" spans="2:15" s="1" customFormat="1" ht="24" customHeight="1" x14ac:dyDescent="0.25">
      <c r="B39" s="27" t="s">
        <v>297</v>
      </c>
      <c r="C39" s="27" t="s">
        <v>577</v>
      </c>
      <c r="D39" s="27" t="s">
        <v>615</v>
      </c>
      <c r="E39" s="27" t="s">
        <v>346</v>
      </c>
      <c r="F39" s="28">
        <v>25000</v>
      </c>
      <c r="G39" s="28"/>
      <c r="H39" s="43"/>
      <c r="I39" s="27"/>
      <c r="J39" s="30"/>
      <c r="K39" s="31"/>
      <c r="L39" s="31"/>
      <c r="M39" s="31"/>
    </row>
    <row r="40" spans="2:15" s="1" customFormat="1" ht="24" customHeight="1" x14ac:dyDescent="0.25">
      <c r="B40" s="27" t="s">
        <v>298</v>
      </c>
      <c r="C40" s="27" t="s">
        <v>578</v>
      </c>
      <c r="D40" s="27" t="s">
        <v>616</v>
      </c>
      <c r="E40" s="27" t="s">
        <v>579</v>
      </c>
      <c r="F40" s="28">
        <v>30000</v>
      </c>
      <c r="G40" s="28"/>
      <c r="H40" s="43"/>
      <c r="I40" s="27"/>
      <c r="J40" s="30"/>
      <c r="K40" s="31"/>
      <c r="L40" s="31"/>
      <c r="M40" s="31"/>
    </row>
    <row r="41" spans="2:15" s="1" customFormat="1" ht="21" customHeight="1" x14ac:dyDescent="0.25">
      <c r="B41" s="27" t="s">
        <v>299</v>
      </c>
      <c r="C41" s="27" t="s">
        <v>545</v>
      </c>
      <c r="D41" s="27" t="s">
        <v>617</v>
      </c>
      <c r="E41" s="27" t="s">
        <v>347</v>
      </c>
      <c r="F41" s="28">
        <v>30000</v>
      </c>
      <c r="G41" s="28" t="s">
        <v>645</v>
      </c>
      <c r="H41" s="45"/>
      <c r="I41" s="32"/>
      <c r="J41" s="34"/>
      <c r="K41" s="35"/>
      <c r="L41" s="35"/>
      <c r="M41" s="36">
        <f>Table_ForecastInput2456745[[#This Row],[Budget per Person (₦)]]*Table_ForecastInput2456745[[#This Row],[Social Media Presence (IG/Tiktok Handles)]]</f>
        <v>0</v>
      </c>
    </row>
    <row r="42" spans="2:15" ht="21" customHeight="1" x14ac:dyDescent="0.25">
      <c r="B42" s="27" t="s">
        <v>300</v>
      </c>
      <c r="C42" s="27" t="s">
        <v>569</v>
      </c>
      <c r="D42" s="27" t="s">
        <v>596</v>
      </c>
      <c r="E42" s="27" t="s">
        <v>348</v>
      </c>
      <c r="F42" s="28">
        <v>35000</v>
      </c>
      <c r="G42" s="28"/>
      <c r="H42" s="45"/>
      <c r="I42" s="32"/>
      <c r="J42" s="34"/>
      <c r="K42" s="35"/>
      <c r="L42" s="35"/>
      <c r="M42" s="36">
        <f>Table_ForecastInput2456745[[#This Row],[Budget per Person (₦)]]*Table_ForecastInput2456745[[#This Row],[Social Media Presence (IG/Tiktok Handles)]]</f>
        <v>0</v>
      </c>
      <c r="N42" s="1"/>
      <c r="O42" s="4"/>
    </row>
    <row r="43" spans="2:15" ht="21" customHeight="1" x14ac:dyDescent="0.25">
      <c r="B43" s="27" t="s">
        <v>301</v>
      </c>
      <c r="C43" s="27" t="s">
        <v>545</v>
      </c>
      <c r="D43" s="27" t="s">
        <v>618</v>
      </c>
      <c r="E43" s="27" t="s">
        <v>347</v>
      </c>
      <c r="F43" s="28">
        <v>30000</v>
      </c>
      <c r="G43" s="28" t="s">
        <v>644</v>
      </c>
      <c r="H43" s="45"/>
      <c r="I43" s="32"/>
      <c r="J43" s="34"/>
      <c r="K43" s="35"/>
      <c r="L43" s="35"/>
      <c r="M43" s="36">
        <f>Table_ForecastInput2456745[[#This Row],[Budget per Person (₦)]]*Table_ForecastInput2456745[[#This Row],[Social Media Presence (IG/Tiktok Handles)]]</f>
        <v>0</v>
      </c>
      <c r="N43" s="1"/>
      <c r="O43" s="4"/>
    </row>
    <row r="44" spans="2:15" ht="21" customHeight="1" x14ac:dyDescent="0.25">
      <c r="B44" s="27" t="s">
        <v>302</v>
      </c>
      <c r="C44" s="27" t="s">
        <v>580</v>
      </c>
      <c r="D44" s="27" t="s">
        <v>619</v>
      </c>
      <c r="E44" s="27" t="s">
        <v>347</v>
      </c>
      <c r="F44" s="28">
        <v>18000</v>
      </c>
      <c r="G44" s="28" t="s">
        <v>643</v>
      </c>
      <c r="H44" s="45"/>
      <c r="I44" s="32"/>
      <c r="J44" s="34"/>
      <c r="K44" s="35"/>
      <c r="L44" s="35"/>
      <c r="M44" s="36">
        <f>Table_ForecastInput2456745[[#This Row],[Budget per Person (₦)]]*Table_ForecastInput2456745[[#This Row],[Social Media Presence (IG/Tiktok Handles)]]</f>
        <v>0</v>
      </c>
      <c r="N44" s="1"/>
      <c r="O44" s="4"/>
    </row>
    <row r="45" spans="2:15" ht="21" customHeight="1" x14ac:dyDescent="0.25">
      <c r="B45" s="27" t="s">
        <v>303</v>
      </c>
      <c r="C45" s="27" t="s">
        <v>581</v>
      </c>
      <c r="D45" s="27" t="s">
        <v>620</v>
      </c>
      <c r="E45" s="27" t="s">
        <v>347</v>
      </c>
      <c r="F45" s="28">
        <v>35000</v>
      </c>
      <c r="G45" s="28" t="s">
        <v>642</v>
      </c>
      <c r="H45" s="45"/>
      <c r="I45" s="32"/>
      <c r="J45" s="34"/>
      <c r="K45" s="35"/>
      <c r="L45" s="35"/>
      <c r="M45" s="36">
        <f>Table_ForecastInput2456745[[#This Row],[Budget per Person (₦)]]*Table_ForecastInput2456745[[#This Row],[Social Media Presence (IG/Tiktok Handles)]]</f>
        <v>0</v>
      </c>
      <c r="N45" s="1"/>
      <c r="O45" s="4"/>
    </row>
    <row r="46" spans="2:15" ht="21" customHeight="1" x14ac:dyDescent="0.25">
      <c r="B46" s="27" t="s">
        <v>304</v>
      </c>
      <c r="C46" s="27" t="s">
        <v>404</v>
      </c>
      <c r="D46" s="27" t="s">
        <v>621</v>
      </c>
      <c r="E46" s="27" t="s">
        <v>349</v>
      </c>
      <c r="F46" s="28">
        <v>30000</v>
      </c>
      <c r="G46" s="28" t="s">
        <v>641</v>
      </c>
      <c r="H46" s="45"/>
      <c r="I46" s="32"/>
      <c r="J46" s="34"/>
      <c r="K46" s="35"/>
      <c r="L46" s="35"/>
      <c r="M46" s="36">
        <f>Table_ForecastInput2456745[[#This Row],[Budget per Person (₦)]]*Table_ForecastInput2456745[[#This Row],[Social Media Presence (IG/Tiktok Handles)]]</f>
        <v>0</v>
      </c>
      <c r="N46" s="1"/>
      <c r="O46" s="4"/>
    </row>
    <row r="47" spans="2:15" ht="21" customHeight="1" x14ac:dyDescent="0.25">
      <c r="B47" s="27" t="s">
        <v>305</v>
      </c>
      <c r="C47" s="27" t="s">
        <v>582</v>
      </c>
      <c r="D47" s="27" t="s">
        <v>622</v>
      </c>
      <c r="E47" s="27" t="s">
        <v>350</v>
      </c>
      <c r="F47" s="28">
        <v>50000</v>
      </c>
      <c r="G47" s="28" t="s">
        <v>640</v>
      </c>
      <c r="H47" s="45"/>
      <c r="I47" s="32"/>
      <c r="J47" s="34"/>
      <c r="K47" s="35"/>
      <c r="L47" s="35"/>
      <c r="M47" s="36">
        <f>Table_ForecastInput2456745[[#This Row],[Budget per Person (₦)]]*Table_ForecastInput2456745[[#This Row],[Social Media Presence (IG/Tiktok Handles)]]</f>
        <v>0</v>
      </c>
      <c r="N47" s="1"/>
      <c r="O47" s="4"/>
    </row>
    <row r="48" spans="2:15" ht="21" customHeight="1" x14ac:dyDescent="0.25">
      <c r="B48" s="27" t="s">
        <v>306</v>
      </c>
      <c r="C48" s="27" t="s">
        <v>583</v>
      </c>
      <c r="D48" s="27" t="s">
        <v>623</v>
      </c>
      <c r="E48" s="27" t="s">
        <v>351</v>
      </c>
      <c r="F48" s="28">
        <v>18000</v>
      </c>
      <c r="G48" s="28" t="s">
        <v>639</v>
      </c>
      <c r="H48" s="45"/>
      <c r="I48" s="32"/>
      <c r="J48" s="34"/>
      <c r="K48" s="35"/>
      <c r="L48" s="35"/>
      <c r="M48" s="36">
        <f>Table_ForecastInput2456745[[#This Row],[Budget per Person (₦)]]*Table_ForecastInput2456745[[#This Row],[Social Media Presence (IG/Tiktok Handles)]]</f>
        <v>0</v>
      </c>
      <c r="N48" s="1"/>
      <c r="O48" s="4"/>
    </row>
    <row r="49" spans="2:15" ht="21" customHeight="1" x14ac:dyDescent="0.25">
      <c r="B49" s="27" t="s">
        <v>307</v>
      </c>
      <c r="C49" s="27" t="s">
        <v>584</v>
      </c>
      <c r="D49" s="27" t="s">
        <v>624</v>
      </c>
      <c r="E49" s="27" t="s">
        <v>352</v>
      </c>
      <c r="F49" s="28">
        <v>40000</v>
      </c>
      <c r="G49" s="28"/>
      <c r="H49" s="45"/>
      <c r="I49" s="32"/>
      <c r="J49" s="34"/>
      <c r="K49" s="35"/>
      <c r="L49" s="35"/>
      <c r="M49" s="36">
        <f>Table_ForecastInput2456745[[#This Row],[Budget per Person (₦)]]*Table_ForecastInput2456745[[#This Row],[Social Media Presence (IG/Tiktok Handles)]]</f>
        <v>0</v>
      </c>
      <c r="N49" s="1"/>
      <c r="O49" s="4"/>
    </row>
    <row r="50" spans="2:15" ht="21" customHeight="1" x14ac:dyDescent="0.25">
      <c r="B50" s="27" t="s">
        <v>308</v>
      </c>
      <c r="C50" s="27" t="s">
        <v>585</v>
      </c>
      <c r="D50" s="27" t="s">
        <v>625</v>
      </c>
      <c r="E50" s="27" t="s">
        <v>353</v>
      </c>
      <c r="F50" s="28">
        <v>20000</v>
      </c>
      <c r="G50" s="28" t="s">
        <v>638</v>
      </c>
      <c r="H50" s="45"/>
      <c r="I50" s="32"/>
      <c r="J50" s="34"/>
      <c r="K50" s="35"/>
      <c r="L50" s="35"/>
      <c r="M50" s="36">
        <f>Table_ForecastInput2456745[[#This Row],[Budget per Person (₦)]]*Table_ForecastInput2456745[[#This Row],[Social Media Presence (IG/Tiktok Handles)]]</f>
        <v>0</v>
      </c>
      <c r="N50" s="1"/>
      <c r="O50" s="4"/>
    </row>
    <row r="51" spans="2:15" ht="21" customHeight="1" x14ac:dyDescent="0.25">
      <c r="B51" s="27" t="s">
        <v>309</v>
      </c>
      <c r="C51" s="27" t="s">
        <v>546</v>
      </c>
      <c r="D51" s="27" t="s">
        <v>626</v>
      </c>
      <c r="E51" s="27" t="s">
        <v>354</v>
      </c>
      <c r="F51" s="28">
        <v>50000</v>
      </c>
      <c r="G51" s="28" t="s">
        <v>637</v>
      </c>
      <c r="H51" s="45"/>
      <c r="I51" s="32"/>
      <c r="J51" s="34"/>
      <c r="K51" s="35"/>
      <c r="L51" s="35"/>
      <c r="M51" s="36">
        <f>Table_ForecastInput2456745[[#This Row],[Budget per Person (₦)]]*Table_ForecastInput2456745[[#This Row],[Social Media Presence (IG/Tiktok Handles)]]</f>
        <v>0</v>
      </c>
      <c r="N51" s="1"/>
      <c r="O51" s="4"/>
    </row>
    <row r="52" spans="2:15" ht="21" customHeight="1" x14ac:dyDescent="0.25">
      <c r="B52" s="27" t="s">
        <v>310</v>
      </c>
      <c r="C52" s="27" t="s">
        <v>547</v>
      </c>
      <c r="D52" s="27" t="s">
        <v>596</v>
      </c>
      <c r="E52" s="27" t="s">
        <v>355</v>
      </c>
      <c r="F52" s="28">
        <v>30000</v>
      </c>
      <c r="G52" s="28"/>
      <c r="H52" s="45"/>
      <c r="I52" s="32"/>
      <c r="J52" s="34"/>
      <c r="K52" s="35"/>
      <c r="L52" s="35"/>
      <c r="M52" s="36">
        <f>Table_ForecastInput2456745[[#This Row],[Budget per Person (₦)]]*Table_ForecastInput2456745[[#This Row],[Social Media Presence (IG/Tiktok Handles)]]</f>
        <v>0</v>
      </c>
      <c r="N52" s="1"/>
      <c r="O52" s="4"/>
    </row>
    <row r="53" spans="2:15" ht="21" customHeight="1" x14ac:dyDescent="0.25">
      <c r="B53" s="27" t="s">
        <v>311</v>
      </c>
      <c r="C53" s="27" t="s">
        <v>586</v>
      </c>
      <c r="D53" s="27" t="s">
        <v>627</v>
      </c>
      <c r="E53" s="27" t="s">
        <v>356</v>
      </c>
      <c r="F53" s="28">
        <v>40000</v>
      </c>
      <c r="G53" s="28"/>
      <c r="H53" s="45"/>
      <c r="I53" s="32"/>
      <c r="J53" s="34"/>
      <c r="K53" s="35"/>
      <c r="L53" s="35"/>
      <c r="M53" s="36">
        <f>Table_ForecastInput2456745[[#This Row],[Budget per Person (₦)]]*Table_ForecastInput2456745[[#This Row],[Social Media Presence (IG/Tiktok Handles)]]</f>
        <v>0</v>
      </c>
      <c r="N53" s="1"/>
      <c r="O53" s="4"/>
    </row>
    <row r="54" spans="2:15" ht="21" customHeight="1" x14ac:dyDescent="0.25">
      <c r="B54" s="27" t="s">
        <v>312</v>
      </c>
      <c r="C54" s="27" t="s">
        <v>548</v>
      </c>
      <c r="D54" s="27" t="s">
        <v>628</v>
      </c>
      <c r="E54" s="27" t="s">
        <v>354</v>
      </c>
      <c r="F54" s="28">
        <v>40000</v>
      </c>
      <c r="G54" s="28" t="s">
        <v>634</v>
      </c>
      <c r="H54" s="45"/>
      <c r="I54" s="32"/>
      <c r="J54" s="34"/>
      <c r="K54" s="35"/>
      <c r="L54" s="35"/>
      <c r="M54" s="36">
        <f>Table_ForecastInput2456745[[#This Row],[Budget per Person (₦)]]*Table_ForecastInput2456745[[#This Row],[Social Media Presence (IG/Tiktok Handles)]]</f>
        <v>0</v>
      </c>
      <c r="N54" s="1"/>
      <c r="O54" s="4"/>
    </row>
    <row r="55" spans="2:15" ht="21" customHeight="1" x14ac:dyDescent="0.25">
      <c r="B55" s="27" t="s">
        <v>313</v>
      </c>
      <c r="C55" s="27" t="s">
        <v>587</v>
      </c>
      <c r="D55" s="27" t="s">
        <v>629</v>
      </c>
      <c r="E55" s="27" t="s">
        <v>357</v>
      </c>
      <c r="F55" s="28">
        <v>8000</v>
      </c>
      <c r="G55" s="28" t="s">
        <v>635</v>
      </c>
      <c r="H55" s="45"/>
      <c r="I55" s="32"/>
      <c r="J55" s="34"/>
      <c r="K55" s="35"/>
      <c r="L55" s="35"/>
      <c r="M55" s="36">
        <f>Table_ForecastInput2456745[[#This Row],[Budget per Person (₦)]]*Table_ForecastInput2456745[[#This Row],[Social Media Presence (IG/Tiktok Handles)]]</f>
        <v>0</v>
      </c>
      <c r="N55" s="1"/>
      <c r="O55" s="4"/>
    </row>
    <row r="56" spans="2:15" ht="21" customHeight="1" x14ac:dyDescent="0.25">
      <c r="B56" s="27" t="s">
        <v>314</v>
      </c>
      <c r="C56" s="27" t="s">
        <v>588</v>
      </c>
      <c r="D56" s="27" t="s">
        <v>630</v>
      </c>
      <c r="E56" s="27" t="s">
        <v>354</v>
      </c>
      <c r="F56" s="28">
        <v>30000</v>
      </c>
      <c r="G56" s="28" t="s">
        <v>634</v>
      </c>
      <c r="H56" s="45"/>
      <c r="I56" s="32"/>
      <c r="J56" s="34"/>
      <c r="K56" s="35"/>
      <c r="L56" s="35"/>
      <c r="M56" s="36">
        <f>Table_ForecastInput2456745[[#This Row],[Budget per Person (₦)]]*Table_ForecastInput2456745[[#This Row],[Social Media Presence (IG/Tiktok Handles)]]</f>
        <v>0</v>
      </c>
      <c r="N56" s="1"/>
      <c r="O56" s="4"/>
    </row>
    <row r="57" spans="2:15" ht="21" customHeight="1" x14ac:dyDescent="0.25">
      <c r="B57" s="27" t="s">
        <v>315</v>
      </c>
      <c r="C57" s="27" t="s">
        <v>589</v>
      </c>
      <c r="D57" s="27" t="s">
        <v>631</v>
      </c>
      <c r="E57" s="27" t="s">
        <v>358</v>
      </c>
      <c r="F57" s="28">
        <v>25000</v>
      </c>
      <c r="G57" s="28"/>
      <c r="H57" s="45"/>
      <c r="I57" s="32"/>
      <c r="J57" s="34"/>
      <c r="K57" s="35"/>
      <c r="L57" s="35"/>
      <c r="M57" s="36">
        <f>Table_ForecastInput2456745[[#This Row],[Budget per Person (₦)]]*Table_ForecastInput2456745[[#This Row],[Social Media Presence (IG/Tiktok Handles)]]</f>
        <v>0</v>
      </c>
      <c r="N57" s="1"/>
      <c r="O57" s="4"/>
    </row>
    <row r="58" spans="2:15" ht="21" customHeight="1" x14ac:dyDescent="0.25">
      <c r="B58" s="27" t="s">
        <v>316</v>
      </c>
      <c r="C58" s="27" t="s">
        <v>549</v>
      </c>
      <c r="D58" s="27" t="s">
        <v>632</v>
      </c>
      <c r="E58" s="27" t="s">
        <v>183</v>
      </c>
      <c r="F58" s="28">
        <v>30000</v>
      </c>
      <c r="G58" s="28"/>
      <c r="H58" s="45"/>
      <c r="I58" s="32"/>
      <c r="J58" s="34"/>
      <c r="K58" s="35"/>
      <c r="L58" s="35"/>
      <c r="M58" s="36">
        <f>Table_ForecastInput2456745[[#This Row],[Budget per Person (₦)]]*Table_ForecastInput2456745[[#This Row],[Social Media Presence (IG/Tiktok Handles)]]</f>
        <v>0</v>
      </c>
      <c r="N58" s="1"/>
      <c r="O58" s="4"/>
    </row>
  </sheetData>
  <sheetProtection selectLockedCells="1" selectUnlockedCells="1"/>
  <mergeCells count="1">
    <mergeCell ref="B3:D3"/>
  </mergeCells>
  <dataValidations count="12">
    <dataValidation allowBlank="1" showInputMessage="1" showErrorMessage="1" prompt="Enter your Company Name in cell B2._x000a__x000a_Clear the table below and enter your own Forecast Input data. To manage the available options for the dropdowns, go to Lists Tab." sqref="A1" xr:uid="{7E60B770-3466-4B5A-BC06-85BCBE786324}"/>
    <dataValidation allowBlank="1" showInputMessage="1" showErrorMessage="1" prompt="Enter your Company Name in this cell" sqref="B2" xr:uid="{CFF186F4-DCB7-4B9E-A213-2602A953ED3C}"/>
    <dataValidation allowBlank="1" showInputMessage="1" showErrorMessage="1" prompt="Title of sheet is in this cell" sqref="B3" xr:uid="{BB9F12C7-10D4-446E-A3EA-577D36607A54}"/>
    <dataValidation allowBlank="1" showInputMessage="1" showErrorMessage="1" prompt="Enter Opportunity name in this column under this heading" sqref="B6:B7" xr:uid="{FDE91C90-CD3E-4C1E-A9C4-07A9E1C57D2B}"/>
    <dataValidation allowBlank="1" showInputMessage="1" showErrorMessage="1" prompt="Select the Sales agent from the dropdown list in each cell in this column. Options are defined in the Lists worksheet. Press ALT+DOWN ARROW to navigate the list, then ENTER to make a selection" sqref="C6:C7" xr:uid="{D022F300-DEF7-4FCA-9AD3-1AD2C2688C15}"/>
    <dataValidation allowBlank="1" showInputMessage="1" showErrorMessage="1" prompt="Select the Sales region from the dropdown list in each cell in this column. Options are defined in the Lists worksheet. Press ALT+DOWN ARROW to navigate the list, then ENTER to make a selection" sqref="D6:D7" xr:uid="{D4D02656-847D-4D3E-AE5B-8D90FE0844EF}"/>
    <dataValidation allowBlank="1" showInputMessage="1" showErrorMessage="1" prompt="Select the Sales category from the dropdown list in each cell in this column. Options are defined in the Lists worksheet. Press ALT+DOWN ARROW to navigate the list, then ENTER to make a selection" sqref="E6:H7 F8:G58" xr:uid="{21D44E1C-C79D-48D9-A930-94751C002651}"/>
    <dataValidation allowBlank="1" showInputMessage="1" showErrorMessage="1" prompt="Enter Forecast amount in this column under this heading" sqref="F6:G58" xr:uid="{ED5EC287-CA06-44D3-994F-9BFDC4AB6326}"/>
    <dataValidation allowBlank="1" showInputMessage="1" showErrorMessage="1" prompt="Select the Sales phase from the dropdown list in each cell in this column. Options are defined in the Lists worksheet. Press ALT+DOWN ARROW to navigate the list, then ENTER to make a selection" sqref="I6:I7" xr:uid="{9B8901C4-7665-4B94-A870-6F130EAF3655}"/>
    <dataValidation allowBlank="1" showInputMessage="1" showErrorMessage="1" prompt="Enter Probability of sale in this column under this heading" sqref="J6:K7" xr:uid="{E31AF960-3651-48E7-86FE-807FAB50D0D6}"/>
    <dataValidation allowBlank="1" showInputMessage="1" showErrorMessage="1" prompt="Enter Forecast close in this column under this heading" sqref="L6:L7" xr:uid="{2AEE56A7-2526-4DBD-8B36-11CD787831FF}"/>
    <dataValidation allowBlank="1" showInputMessage="1" showErrorMessage="1" prompt="Weighted forecast is automatically calculated in this column" sqref="M6:M7" xr:uid="{C662399F-754E-422D-8BFE-BF629DDF332C}"/>
  </dataValidations>
  <printOptions horizontalCentered="1"/>
  <pageMargins left="0.25" right="0.25" top="0.75" bottom="0.75" header="0.3" footer="0.3"/>
  <pageSetup scale="62" fitToHeight="0" orientation="landscape" r:id="rId1"/>
  <drawing r:id="rId2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623808-F049-4DF6-8787-2FC803D14494}">
  <sheetPr>
    <tabColor theme="3"/>
    <pageSetUpPr fitToPage="1"/>
  </sheetPr>
  <dimension ref="A1:O532"/>
  <sheetViews>
    <sheetView showGridLines="0" topLeftCell="A16" zoomScale="80" zoomScaleNormal="80" workbookViewId="0">
      <selection activeCell="G16" sqref="G16"/>
    </sheetView>
  </sheetViews>
  <sheetFormatPr defaultColWidth="9.85546875" defaultRowHeight="21" customHeight="1" x14ac:dyDescent="0.25"/>
  <cols>
    <col min="1" max="1" width="4.28515625" style="1" customWidth="1"/>
    <col min="2" max="2" width="35.7109375" style="32" bestFit="1" customWidth="1"/>
    <col min="3" max="3" width="65.140625" style="35" bestFit="1" customWidth="1"/>
    <col min="4" max="4" width="39.140625" style="32" bestFit="1" customWidth="1"/>
    <col min="5" max="5" width="61.5703125" style="32" bestFit="1" customWidth="1"/>
    <col min="6" max="6" width="33.85546875" style="33" bestFit="1" customWidth="1"/>
    <col min="7" max="7" width="75.85546875" style="33" bestFit="1" customWidth="1"/>
    <col min="8" max="8" width="15.28515625" style="32" bestFit="1" customWidth="1"/>
    <col min="9" max="9" width="16.28515625" bestFit="1" customWidth="1"/>
    <col min="10" max="10" width="33.7109375" style="32" bestFit="1" customWidth="1"/>
    <col min="11" max="11" width="18.7109375" style="34" bestFit="1" customWidth="1"/>
    <col min="12" max="12" width="24.85546875" style="34" bestFit="1" customWidth="1"/>
    <col min="13" max="13" width="27" style="35" bestFit="1" customWidth="1"/>
    <col min="14" max="14" width="1.7109375" style="35" bestFit="1" customWidth="1"/>
    <col min="15" max="15" width="2" style="1" bestFit="1" customWidth="1"/>
    <col min="16" max="16384" width="9.85546875" style="4"/>
  </cols>
  <sheetData>
    <row r="1" spans="1:15" ht="20.100000000000001" customHeight="1" x14ac:dyDescent="0.25">
      <c r="B1" s="1"/>
      <c r="C1" s="40"/>
      <c r="D1" s="2"/>
      <c r="E1" s="2"/>
      <c r="F1" s="1"/>
      <c r="G1" s="1"/>
      <c r="H1" s="2"/>
      <c r="I1" s="1"/>
      <c r="J1" s="1"/>
      <c r="K1" s="1"/>
      <c r="L1" s="3"/>
      <c r="M1" s="3"/>
      <c r="N1" s="1" t="s">
        <v>0</v>
      </c>
      <c r="O1" s="4"/>
    </row>
    <row r="2" spans="1:15" s="10" customFormat="1" ht="30" customHeight="1" x14ac:dyDescent="0.35">
      <c r="A2" s="5"/>
      <c r="B2" s="6" t="s">
        <v>1</v>
      </c>
      <c r="C2" s="41"/>
      <c r="D2" s="7"/>
      <c r="E2" s="7"/>
      <c r="F2" s="5"/>
      <c r="G2" s="5"/>
      <c r="H2" s="7"/>
      <c r="I2" s="8"/>
      <c r="J2" s="8"/>
      <c r="K2" s="8"/>
      <c r="L2" s="9"/>
      <c r="M2" s="9"/>
      <c r="N2" s="5"/>
    </row>
    <row r="3" spans="1:15" s="15" customFormat="1" ht="80.099999999999994" customHeight="1" x14ac:dyDescent="1.05">
      <c r="A3" s="11"/>
      <c r="B3" s="38" t="s">
        <v>180</v>
      </c>
      <c r="C3" s="38"/>
      <c r="D3" s="38"/>
      <c r="E3" s="12"/>
      <c r="F3" s="11"/>
      <c r="G3" s="11"/>
      <c r="H3" s="12"/>
      <c r="I3" s="13"/>
      <c r="J3" s="13"/>
      <c r="K3" s="13"/>
      <c r="L3" s="14"/>
      <c r="M3" s="14"/>
      <c r="N3" s="11"/>
    </row>
    <row r="4" spans="1:15" s="10" customFormat="1" ht="32.1" customHeight="1" x14ac:dyDescent="0.25">
      <c r="A4" s="5"/>
      <c r="B4" s="16" t="s">
        <v>3</v>
      </c>
      <c r="C4" s="41"/>
      <c r="D4" s="7"/>
      <c r="E4" s="7"/>
      <c r="F4" s="5"/>
      <c r="G4" s="5"/>
      <c r="H4" s="7"/>
      <c r="I4" s="8"/>
      <c r="J4" s="8"/>
      <c r="K4" s="8"/>
      <c r="L4" s="9"/>
      <c r="M4" s="9"/>
      <c r="N4" s="5"/>
    </row>
    <row r="5" spans="1:15" ht="24" customHeight="1" x14ac:dyDescent="0.25">
      <c r="B5" s="17"/>
      <c r="C5" s="42"/>
      <c r="D5" s="18"/>
      <c r="E5" s="18"/>
      <c r="F5" s="19"/>
      <c r="G5" s="19"/>
      <c r="H5" s="18"/>
      <c r="I5" s="19"/>
      <c r="J5" s="19"/>
      <c r="K5" s="19"/>
      <c r="L5" s="20"/>
      <c r="M5" s="21"/>
      <c r="N5" s="1"/>
      <c r="O5" s="4"/>
    </row>
    <row r="6" spans="1:15" s="26" customFormat="1" ht="60" customHeight="1" x14ac:dyDescent="0.3">
      <c r="A6" s="22"/>
      <c r="B6" s="23" t="s">
        <v>4</v>
      </c>
      <c r="C6" s="25" t="s">
        <v>5</v>
      </c>
      <c r="D6" s="23" t="s">
        <v>6</v>
      </c>
      <c r="E6" s="23" t="s">
        <v>7</v>
      </c>
      <c r="F6" s="23" t="s">
        <v>9</v>
      </c>
      <c r="G6" s="23" t="s">
        <v>440</v>
      </c>
      <c r="H6" s="23" t="s">
        <v>8</v>
      </c>
      <c r="I6" s="23" t="s">
        <v>10</v>
      </c>
      <c r="J6" s="24" t="s">
        <v>495</v>
      </c>
      <c r="K6" s="24" t="s">
        <v>12</v>
      </c>
      <c r="L6" s="25" t="s">
        <v>13</v>
      </c>
      <c r="M6" s="25" t="s">
        <v>14</v>
      </c>
      <c r="N6" s="22"/>
    </row>
    <row r="7" spans="1:15" ht="24" customHeight="1" x14ac:dyDescent="0.25">
      <c r="B7" s="27" t="s">
        <v>150</v>
      </c>
      <c r="C7" s="31" t="s">
        <v>496</v>
      </c>
      <c r="D7" s="27"/>
      <c r="E7" s="27" t="s">
        <v>523</v>
      </c>
      <c r="F7" s="43">
        <v>15000</v>
      </c>
      <c r="G7" s="43" t="str">
        <f>VLOOKUP(Table_ForecastInput245674[[#This Row],[Venue Name]],'[2]Venue Data'!$A:$F,6,)</f>
        <v>X posts (popular Ofada &amp; seafood Ofada mentions); known Surulere spot</v>
      </c>
      <c r="H7" s="27"/>
      <c r="I7" s="43"/>
      <c r="J7" s="30"/>
      <c r="K7" s="31"/>
      <c r="L7" s="31"/>
      <c r="M7" s="31"/>
      <c r="N7" s="1"/>
      <c r="O7" s="4"/>
    </row>
    <row r="8" spans="1:15" ht="24" customHeight="1" x14ac:dyDescent="0.25">
      <c r="B8" s="27" t="s">
        <v>151</v>
      </c>
      <c r="C8" s="31" t="s">
        <v>497</v>
      </c>
      <c r="D8" s="27"/>
      <c r="E8" s="27" t="s">
        <v>524</v>
      </c>
      <c r="F8" s="28" t="s">
        <v>541</v>
      </c>
      <c r="G8" s="43" t="str">
        <f>VLOOKUP(Table_ForecastInput245674[[#This Row],[Venue Name]],'[2]Venue Data'!$A:$F,6,)</f>
        <v>Older X posts (events at Shodex Garden)</v>
      </c>
      <c r="H8" s="31"/>
      <c r="I8" s="27"/>
      <c r="J8" s="30"/>
      <c r="K8" s="31"/>
      <c r="L8" s="31"/>
      <c r="M8" s="31"/>
      <c r="N8" s="1"/>
      <c r="O8" s="4"/>
    </row>
    <row r="9" spans="1:15" ht="24" customHeight="1" x14ac:dyDescent="0.25">
      <c r="B9" s="27" t="s">
        <v>152</v>
      </c>
      <c r="C9" s="31" t="s">
        <v>498</v>
      </c>
      <c r="D9" s="27"/>
      <c r="E9" s="27" t="s">
        <v>525</v>
      </c>
      <c r="F9" s="43">
        <v>25000</v>
      </c>
      <c r="G9" s="43"/>
      <c r="H9" s="27"/>
      <c r="I9" s="43"/>
      <c r="J9" s="30"/>
      <c r="K9" s="31"/>
      <c r="L9" s="31"/>
      <c r="M9" s="31"/>
      <c r="N9" s="1"/>
      <c r="O9" s="4"/>
    </row>
    <row r="10" spans="1:15" ht="24" customHeight="1" x14ac:dyDescent="0.25">
      <c r="B10" s="27" t="s">
        <v>153</v>
      </c>
      <c r="C10" s="31" t="s">
        <v>499</v>
      </c>
      <c r="D10" s="27"/>
      <c r="E10" s="27" t="s">
        <v>525</v>
      </c>
      <c r="F10" s="43">
        <v>18000</v>
      </c>
      <c r="G10" s="43"/>
      <c r="H10"/>
      <c r="I10" s="43"/>
      <c r="J10" s="30"/>
      <c r="K10" s="31"/>
      <c r="L10" s="31"/>
      <c r="M10" s="31"/>
      <c r="N10" s="1"/>
      <c r="O10" s="4"/>
    </row>
    <row r="11" spans="1:15" ht="24" customHeight="1" x14ac:dyDescent="0.25">
      <c r="B11" s="27" t="s">
        <v>154</v>
      </c>
      <c r="C11" s="31" t="s">
        <v>500</v>
      </c>
      <c r="D11" s="27"/>
      <c r="E11" s="27" t="s">
        <v>526</v>
      </c>
      <c r="F11" s="43">
        <v>10000</v>
      </c>
      <c r="G11" s="43" t="str">
        <f>VLOOKUP(Table_ForecastInput245674[[#This Row],[Venue Name]],'[2]Venue Data'!$A:$F,6,)</f>
        <v>Filmhouse Cinema locations</v>
      </c>
      <c r="H11"/>
      <c r="I11" s="43"/>
      <c r="J11" s="30"/>
      <c r="K11" s="31"/>
      <c r="L11" s="31"/>
      <c r="M11" s="31"/>
      <c r="N11" s="1"/>
      <c r="O11" s="4"/>
    </row>
    <row r="12" spans="1:15" ht="24" customHeight="1" x14ac:dyDescent="0.25">
      <c r="B12" s="27" t="s">
        <v>155</v>
      </c>
      <c r="C12" s="31" t="s">
        <v>501</v>
      </c>
      <c r="D12" s="27"/>
      <c r="E12" s="27" t="s">
        <v>527</v>
      </c>
      <c r="F12" s="43">
        <v>8000</v>
      </c>
      <c r="G12" s="43" t="str">
        <f>VLOOKUP(Table_ForecastInput245674[[#This Row],[Venue Name]],'[2]Venue Data'!$A:$F,6,)</f>
        <v>Chain standard; Bode Thomas location public</v>
      </c>
      <c r="H12"/>
      <c r="I12" s="43"/>
      <c r="J12" s="30"/>
      <c r="K12" s="31"/>
      <c r="L12" s="31"/>
      <c r="M12" s="31"/>
      <c r="N12" s="1"/>
      <c r="O12" s="4"/>
    </row>
    <row r="13" spans="1:15" ht="24" customHeight="1" x14ac:dyDescent="0.25">
      <c r="B13" s="27" t="s">
        <v>156</v>
      </c>
      <c r="C13" s="31" t="s">
        <v>502</v>
      </c>
      <c r="D13" s="27"/>
      <c r="E13" s="27" t="s">
        <v>528</v>
      </c>
      <c r="F13" s="43">
        <v>12000</v>
      </c>
      <c r="G13" s="43" t="str">
        <f>VLOOKUP(Table_ForecastInput245674[[#This Row],[Venue Name]],'[2]Venue Data'!$A:$F,6,)</f>
        <v>Domino's Pizza chain</v>
      </c>
      <c r="H13"/>
      <c r="I13" s="43"/>
      <c r="J13" s="30"/>
      <c r="K13" s="31"/>
      <c r="L13" s="31"/>
      <c r="M13" s="31"/>
      <c r="N13" s="1"/>
      <c r="O13" s="4"/>
    </row>
    <row r="14" spans="1:15" ht="24" customHeight="1" x14ac:dyDescent="0.25">
      <c r="B14" s="27" t="s">
        <v>157</v>
      </c>
      <c r="C14" s="31" t="s">
        <v>503</v>
      </c>
      <c r="D14" s="27"/>
      <c r="E14" s="27" t="s">
        <v>529</v>
      </c>
      <c r="F14" s="43">
        <v>8000</v>
      </c>
      <c r="G14" s="43" t="str">
        <f>VLOOKUP(Table_ForecastInput245674[[#This Row],[Venue Name]],'[2]Venue Data'!$A:$F,6,)</f>
        <v>Cold Stone Creamery chain</v>
      </c>
      <c r="H14" s="27"/>
      <c r="I14" s="43"/>
      <c r="J14" s="30"/>
      <c r="K14" s="31"/>
      <c r="L14" s="31"/>
      <c r="M14" s="31"/>
      <c r="N14" s="1"/>
      <c r="O14" s="4"/>
    </row>
    <row r="15" spans="1:15" ht="24" customHeight="1" x14ac:dyDescent="0.25">
      <c r="B15" s="27" t="s">
        <v>158</v>
      </c>
      <c r="C15" s="31" t="s">
        <v>504</v>
      </c>
      <c r="D15" s="27"/>
      <c r="E15" s="27" t="s">
        <v>530</v>
      </c>
      <c r="F15" s="43">
        <v>8000</v>
      </c>
      <c r="G15" s="43" t="str">
        <f>VLOOKUP(Table_ForecastInput245674[[#This Row],[Venue Name]],'[2]Venue Data'!$A:$F,6,)</f>
        <v>Chicken Republic chain</v>
      </c>
      <c r="H15" s="27"/>
      <c r="I15" s="43"/>
      <c r="J15" s="30"/>
      <c r="K15" s="31"/>
      <c r="L15" s="31"/>
      <c r="M15" s="31"/>
      <c r="N15" s="1"/>
      <c r="O15" s="4"/>
    </row>
    <row r="16" spans="1:15" ht="24" customHeight="1" x14ac:dyDescent="0.25">
      <c r="B16" s="27" t="s">
        <v>159</v>
      </c>
      <c r="C16" s="31" t="s">
        <v>505</v>
      </c>
      <c r="D16" s="27"/>
      <c r="E16" s="27" t="s">
        <v>531</v>
      </c>
      <c r="F16" s="43">
        <v>18000</v>
      </c>
      <c r="G16" s="43" t="str">
        <f>VLOOKUP(Table_ForecastInput245674[[#This Row],[Venue Name]],'[2]Venue Data'!$A:$F,6,)</f>
        <v>The Place Restaurant chain listings</v>
      </c>
      <c r="H16" s="27"/>
      <c r="I16" s="43"/>
      <c r="J16" s="30"/>
      <c r="K16" s="31"/>
      <c r="L16" s="31"/>
      <c r="M16" s="31"/>
      <c r="N16" s="1"/>
      <c r="O16" s="4"/>
    </row>
    <row r="17" spans="2:15" ht="24" customHeight="1" x14ac:dyDescent="0.25">
      <c r="B17" s="27" t="s">
        <v>160</v>
      </c>
      <c r="C17" s="31" t="s">
        <v>506</v>
      </c>
      <c r="D17" s="27"/>
      <c r="E17" s="27" t="s">
        <v>180</v>
      </c>
      <c r="F17" s="43">
        <v>7000</v>
      </c>
      <c r="G17" s="43" t="str">
        <f>VLOOKUP(Table_ForecastInput245674[[#This Row],[Venue Name]],'[2]Venue Data'!$A:$F,6,)</f>
        <v>Tastee Fried Chicken chain</v>
      </c>
      <c r="H17" s="27"/>
      <c r="I17" s="43"/>
      <c r="J17" s="30"/>
      <c r="K17" s="31"/>
      <c r="L17" s="31"/>
      <c r="M17" s="31"/>
      <c r="N17" s="1"/>
      <c r="O17" s="4"/>
    </row>
    <row r="18" spans="2:15" ht="24" customHeight="1" x14ac:dyDescent="0.25">
      <c r="B18" s="27" t="s">
        <v>161</v>
      </c>
      <c r="C18" s="31" t="s">
        <v>507</v>
      </c>
      <c r="D18" s="27"/>
      <c r="E18" s="27" t="s">
        <v>180</v>
      </c>
      <c r="F18" s="43">
        <v>9000</v>
      </c>
      <c r="G18" s="43" t="str">
        <f>VLOOKUP(Table_ForecastInput245674[[#This Row],[Venue Name]],'[2]Venue Data'!$A:$F,6,)</f>
        <v>Sweet Sensation chain</v>
      </c>
      <c r="H18" s="27"/>
      <c r="I18" s="43"/>
      <c r="J18" s="30"/>
      <c r="K18" s="31"/>
      <c r="L18" s="31"/>
      <c r="M18" s="31"/>
      <c r="N18" s="1"/>
      <c r="O18" s="4"/>
    </row>
    <row r="19" spans="2:15" ht="24" customHeight="1" x14ac:dyDescent="0.25">
      <c r="B19" s="27" t="s">
        <v>162</v>
      </c>
      <c r="C19" s="31" t="s">
        <v>508</v>
      </c>
      <c r="D19" s="27"/>
      <c r="E19" s="27" t="s">
        <v>180</v>
      </c>
      <c r="F19" s="43">
        <v>7000</v>
      </c>
      <c r="G19" s="43" t="str">
        <f>VLOOKUP(Table_ForecastInput245674[[#This Row],[Venue Name]],'[2]Venue Data'!$A:$F,6,)</f>
        <v>Mr Bigg's chain</v>
      </c>
      <c r="H19" s="27"/>
      <c r="I19" s="43"/>
      <c r="J19" s="30"/>
      <c r="K19" s="31"/>
      <c r="L19" s="31"/>
      <c r="M19" s="31"/>
      <c r="N19" s="1"/>
      <c r="O19" s="4"/>
    </row>
    <row r="20" spans="2:15" ht="24" customHeight="1" x14ac:dyDescent="0.25">
      <c r="B20" s="27" t="s">
        <v>163</v>
      </c>
      <c r="C20" s="31" t="s">
        <v>502</v>
      </c>
      <c r="D20" s="27"/>
      <c r="E20" s="27" t="s">
        <v>180</v>
      </c>
      <c r="F20" s="43">
        <v>12000</v>
      </c>
      <c r="G20" s="43" t="str">
        <f>VLOOKUP(Table_ForecastInput245674[[#This Row],[Venue Name]],'[2]Venue Data'!$A:$F,6,)</f>
        <v>Debonairs Pizza chain</v>
      </c>
      <c r="H20" s="27"/>
      <c r="I20" s="43"/>
      <c r="J20" s="30"/>
      <c r="K20" s="31"/>
      <c r="L20" s="31"/>
      <c r="M20" s="31"/>
      <c r="N20" s="1"/>
      <c r="O20" s="4"/>
    </row>
    <row r="21" spans="2:15" ht="24" customHeight="1" x14ac:dyDescent="0.25">
      <c r="B21" s="27" t="s">
        <v>164</v>
      </c>
      <c r="C21" s="31" t="s">
        <v>502</v>
      </c>
      <c r="D21" s="27"/>
      <c r="E21" s="27" t="s">
        <v>180</v>
      </c>
      <c r="F21" s="43">
        <v>15000</v>
      </c>
      <c r="G21" s="43" t="str">
        <f>VLOOKUP(Table_ForecastInput245674[[#This Row],[Venue Name]],'[2]Venue Data'!$A:$F,6,)</f>
        <v>Pizza Hut chain</v>
      </c>
      <c r="H21" s="27"/>
      <c r="I21" s="43"/>
      <c r="J21" s="30"/>
      <c r="K21" s="31"/>
      <c r="L21" s="31"/>
      <c r="M21" s="31"/>
      <c r="N21" s="1"/>
      <c r="O21" s="4"/>
    </row>
    <row r="22" spans="2:15" ht="24" customHeight="1" x14ac:dyDescent="0.25">
      <c r="B22" s="27" t="s">
        <v>165</v>
      </c>
      <c r="C22" s="31" t="s">
        <v>509</v>
      </c>
      <c r="D22" s="27"/>
      <c r="E22" s="27" t="s">
        <v>525</v>
      </c>
      <c r="F22" s="43">
        <v>12000</v>
      </c>
      <c r="G22" s="43"/>
      <c r="H22" s="27"/>
      <c r="I22" s="43"/>
      <c r="J22" s="30"/>
      <c r="K22" s="31"/>
      <c r="L22" s="31"/>
      <c r="M22" s="31"/>
      <c r="N22" s="1"/>
      <c r="O22" s="4"/>
    </row>
    <row r="23" spans="2:15" ht="24" customHeight="1" x14ac:dyDescent="0.25">
      <c r="B23" s="27" t="s">
        <v>166</v>
      </c>
      <c r="C23" s="31" t="s">
        <v>510</v>
      </c>
      <c r="D23" s="27"/>
      <c r="E23" s="27" t="s">
        <v>532</v>
      </c>
      <c r="F23" s="43">
        <v>25000</v>
      </c>
      <c r="G23" s="43" t="str">
        <f>VLOOKUP(Table_ForecastInput245674[[#This Row],[Venue Name]],'[2]Venue Data'!$A:$F,6,)</f>
        <v>X posts &amp; public mentions of Yellow Chilli as quality Nigerian</v>
      </c>
      <c r="H23" s="27"/>
      <c r="I23" s="43"/>
      <c r="J23" s="30"/>
      <c r="K23" s="31"/>
      <c r="L23" s="31"/>
      <c r="M23" s="31"/>
      <c r="N23" s="1"/>
      <c r="O23" s="4"/>
    </row>
    <row r="24" spans="2:15" ht="24" customHeight="1" x14ac:dyDescent="0.25">
      <c r="B24" s="27" t="s">
        <v>167</v>
      </c>
      <c r="C24" s="31" t="s">
        <v>511</v>
      </c>
      <c r="D24" s="27"/>
      <c r="E24" s="27" t="s">
        <v>533</v>
      </c>
      <c r="F24" s="43">
        <v>18000</v>
      </c>
      <c r="G24" s="43" t="str">
        <f>VLOOKUP(Table_ForecastInput245674[[#This Row],[Venue Name]],'[2]Venue Data'!$A:$F,6,)</f>
        <v>X posts praising Jevinik for authentic Nigerian food</v>
      </c>
      <c r="H24" s="27"/>
      <c r="I24" s="43"/>
      <c r="J24" s="30"/>
      <c r="K24" s="31"/>
      <c r="L24" s="31"/>
      <c r="M24" s="31"/>
      <c r="N24" s="1"/>
      <c r="O24" s="4"/>
    </row>
    <row r="25" spans="2:15" ht="24" customHeight="1" x14ac:dyDescent="0.25">
      <c r="B25" s="27" t="s">
        <v>168</v>
      </c>
      <c r="C25" s="31" t="s">
        <v>512</v>
      </c>
      <c r="D25" s="27"/>
      <c r="E25" s="27" t="s">
        <v>180</v>
      </c>
      <c r="F25" s="43">
        <v>25000</v>
      </c>
      <c r="G25" s="43" t="str">
        <f>VLOOKUP(Table_ForecastInput245674[[#This Row],[Venue Name]],'[2]Venue Data'!$A:$F,6,)</f>
        <v>X posts confirming Lounge 38 Surulere</v>
      </c>
      <c r="H25" s="27"/>
      <c r="I25" s="43"/>
      <c r="J25" s="30"/>
      <c r="K25" s="31"/>
      <c r="L25" s="31"/>
      <c r="M25" s="31"/>
      <c r="N25" s="1"/>
      <c r="O25" s="4"/>
    </row>
    <row r="26" spans="2:15" ht="24" customHeight="1" x14ac:dyDescent="0.25">
      <c r="B26" s="27" t="s">
        <v>169</v>
      </c>
      <c r="C26" s="31" t="s">
        <v>513</v>
      </c>
      <c r="D26" s="27"/>
      <c r="E26" s="27" t="s">
        <v>180</v>
      </c>
      <c r="F26" s="43">
        <v>30000</v>
      </c>
      <c r="G26" s="43"/>
      <c r="H26" s="27"/>
      <c r="I26" s="27"/>
      <c r="J26" s="30"/>
      <c r="K26" s="31"/>
      <c r="L26" s="31"/>
      <c r="M26" s="31"/>
      <c r="N26" s="1"/>
      <c r="O26" s="4"/>
    </row>
    <row r="27" spans="2:15" ht="24" customHeight="1" x14ac:dyDescent="0.25">
      <c r="B27" s="27" t="s">
        <v>170</v>
      </c>
      <c r="C27" s="31" t="s">
        <v>514</v>
      </c>
      <c r="D27" s="27"/>
      <c r="E27" s="27" t="s">
        <v>525</v>
      </c>
      <c r="F27" s="43">
        <v>15000</v>
      </c>
      <c r="G27" s="43"/>
      <c r="H27" s="27"/>
      <c r="I27" s="43"/>
      <c r="J27" s="30"/>
      <c r="K27" s="31"/>
      <c r="L27" s="31"/>
      <c r="M27" s="31"/>
      <c r="N27" s="1"/>
      <c r="O27" s="4"/>
    </row>
    <row r="28" spans="2:15" ht="24" customHeight="1" x14ac:dyDescent="0.25">
      <c r="B28" s="27" t="s">
        <v>171</v>
      </c>
      <c r="C28" s="31" t="s">
        <v>515</v>
      </c>
      <c r="D28" s="27"/>
      <c r="E28" s="27" t="s">
        <v>534</v>
      </c>
      <c r="F28" s="43">
        <v>8000</v>
      </c>
      <c r="G28" s="43" t="str">
        <f>VLOOKUP(Table_ForecastInput245674[[#This Row],[Venue Name]],'[2]Venue Data'!$A:$F,6,)</f>
        <v>Public stadium location</v>
      </c>
      <c r="H28" s="27"/>
      <c r="I28" s="43"/>
      <c r="J28" s="30"/>
      <c r="K28" s="31"/>
      <c r="L28" s="31"/>
      <c r="M28" s="31"/>
      <c r="N28" s="1"/>
      <c r="O28" s="4"/>
    </row>
    <row r="29" spans="2:15" ht="24" customHeight="1" x14ac:dyDescent="0.25">
      <c r="B29" s="27" t="s">
        <v>172</v>
      </c>
      <c r="C29" s="31" t="s">
        <v>516</v>
      </c>
      <c r="D29" s="27"/>
      <c r="E29" s="27" t="s">
        <v>535</v>
      </c>
      <c r="F29" s="43">
        <v>8000</v>
      </c>
      <c r="G29" s="43" t="str">
        <f>VLOOKUP(Table_ForecastInput245674[[#This Row],[Venue Name]],'[2]Venue Data'!$A:$F,6,)</f>
        <v>Public stadium location</v>
      </c>
      <c r="H29" s="27"/>
      <c r="I29" s="43"/>
      <c r="J29" s="30"/>
      <c r="K29" s="31"/>
      <c r="L29" s="31"/>
      <c r="M29" s="31"/>
      <c r="N29" s="1"/>
      <c r="O29" s="4"/>
    </row>
    <row r="30" spans="2:15" ht="24" customHeight="1" x14ac:dyDescent="0.25">
      <c r="B30" s="27" t="s">
        <v>173</v>
      </c>
      <c r="C30" s="31" t="s">
        <v>517</v>
      </c>
      <c r="D30" s="27"/>
      <c r="E30" s="27" t="s">
        <v>536</v>
      </c>
      <c r="F30" s="28" t="s">
        <v>541</v>
      </c>
      <c r="G30" s="43"/>
      <c r="H30" s="27"/>
      <c r="I30" s="27"/>
      <c r="J30" s="30"/>
      <c r="K30" s="31"/>
      <c r="L30" s="31"/>
      <c r="M30" s="31"/>
      <c r="N30" s="1"/>
      <c r="O30" s="4"/>
    </row>
    <row r="31" spans="2:15" ht="24" customHeight="1" x14ac:dyDescent="0.25">
      <c r="B31" s="27" t="s">
        <v>174</v>
      </c>
      <c r="C31" s="31" t="s">
        <v>518</v>
      </c>
      <c r="D31" s="27"/>
      <c r="E31" s="27" t="s">
        <v>180</v>
      </c>
      <c r="F31" s="43">
        <v>25000</v>
      </c>
      <c r="G31" s="43"/>
      <c r="H31" s="27"/>
      <c r="I31" s="43"/>
      <c r="J31" s="30"/>
      <c r="K31" s="31"/>
      <c r="L31" s="31"/>
      <c r="M31" s="31"/>
      <c r="N31" s="1"/>
      <c r="O31" s="4"/>
    </row>
    <row r="32" spans="2:15" ht="24" customHeight="1" x14ac:dyDescent="0.25">
      <c r="B32" s="27" t="s">
        <v>175</v>
      </c>
      <c r="C32" s="31" t="s">
        <v>519</v>
      </c>
      <c r="D32" s="27"/>
      <c r="E32" s="27" t="s">
        <v>180</v>
      </c>
      <c r="F32" s="43">
        <v>12000</v>
      </c>
      <c r="G32" s="43"/>
      <c r="H32" s="27"/>
      <c r="I32" s="43"/>
      <c r="J32" s="30"/>
      <c r="K32" s="31"/>
      <c r="L32" s="31"/>
      <c r="M32" s="31"/>
      <c r="N32" s="1"/>
      <c r="O32" s="4"/>
    </row>
    <row r="33" spans="2:15" ht="24" customHeight="1" x14ac:dyDescent="0.25">
      <c r="B33" s="27" t="s">
        <v>176</v>
      </c>
      <c r="C33" s="31" t="s">
        <v>520</v>
      </c>
      <c r="D33" s="27"/>
      <c r="E33" s="27" t="s">
        <v>537</v>
      </c>
      <c r="F33" s="43">
        <v>8000</v>
      </c>
      <c r="G33" s="43" t="str">
        <f>VLOOKUP(Table_ForecastInput245674[[#This Row],[Venue Name]],'[2]Venue Data'!$A:$F,6,)</f>
        <v>Suya cluster along Bode Thomas</v>
      </c>
      <c r="H33" s="27"/>
      <c r="I33" s="43"/>
      <c r="J33" s="30"/>
      <c r="K33" s="31"/>
      <c r="L33" s="31"/>
      <c r="M33" s="31"/>
      <c r="N33" s="1"/>
      <c r="O33" s="4"/>
    </row>
    <row r="34" spans="2:15" ht="24" customHeight="1" x14ac:dyDescent="0.25">
      <c r="B34" s="27" t="s">
        <v>177</v>
      </c>
      <c r="C34" s="31" t="s">
        <v>494</v>
      </c>
      <c r="D34" s="27"/>
      <c r="E34" s="27" t="s">
        <v>538</v>
      </c>
      <c r="F34" s="43">
        <v>12000</v>
      </c>
      <c r="G34" s="43" t="str">
        <f>VLOOKUP(Table_ForecastInput245674[[#This Row],[Venue Name]],'[2]Venue Data'!$A:$F,6,)</f>
        <v>Road cluster</v>
      </c>
      <c r="H34" s="27"/>
      <c r="I34" s="43"/>
      <c r="J34" s="30"/>
      <c r="K34" s="31"/>
      <c r="L34" s="31"/>
      <c r="M34" s="31"/>
      <c r="N34" s="1"/>
      <c r="O34" s="4"/>
    </row>
    <row r="35" spans="2:15" ht="24" customHeight="1" x14ac:dyDescent="0.25">
      <c r="B35" s="27" t="s">
        <v>178</v>
      </c>
      <c r="C35" s="31" t="s">
        <v>521</v>
      </c>
      <c r="D35" s="27"/>
      <c r="E35" s="27" t="s">
        <v>539</v>
      </c>
      <c r="F35" s="43">
        <v>12000</v>
      </c>
      <c r="G35" s="43" t="str">
        <f>VLOOKUP(Table_ForecastInput245674[[#This Row],[Venue Name]],'[2]Venue Data'!$A:$F,6,)</f>
        <v>Mall food court</v>
      </c>
      <c r="H35" s="27"/>
      <c r="I35" s="43"/>
      <c r="J35" s="30"/>
      <c r="K35" s="31"/>
      <c r="L35" s="31"/>
      <c r="M35" s="31"/>
      <c r="N35" s="1"/>
      <c r="O35" s="4"/>
    </row>
    <row r="36" spans="2:15" ht="24" customHeight="1" x14ac:dyDescent="0.25">
      <c r="B36" s="27" t="s">
        <v>179</v>
      </c>
      <c r="C36" s="31" t="s">
        <v>522</v>
      </c>
      <c r="D36" s="27"/>
      <c r="E36" s="27" t="s">
        <v>540</v>
      </c>
      <c r="F36" s="43">
        <v>12000</v>
      </c>
      <c r="G36" s="43" t="str">
        <f>VLOOKUP(Table_ForecastInput245674[[#This Row],[Venue Name]],'[2]Venue Data'!$A:$F,6,)</f>
        <v>Street cluster (near Filmhouse etc.)</v>
      </c>
      <c r="H36" s="27"/>
      <c r="I36" s="43"/>
      <c r="J36" s="30"/>
      <c r="K36" s="31"/>
      <c r="L36" s="31"/>
      <c r="M36" s="31"/>
      <c r="N36" s="1"/>
      <c r="O36" s="4"/>
    </row>
    <row r="37" spans="2:15" ht="24" customHeight="1" x14ac:dyDescent="0.25">
      <c r="B37" s="27"/>
      <c r="C37" s="31"/>
      <c r="D37" s="27"/>
      <c r="E37" s="27"/>
      <c r="F37" s="28"/>
      <c r="G37" s="43"/>
      <c r="H37" s="27"/>
      <c r="I37" s="27"/>
      <c r="J37" s="30"/>
      <c r="K37" s="31"/>
      <c r="L37" s="31"/>
      <c r="M37" s="31"/>
      <c r="N37" s="1"/>
      <c r="O37" s="4"/>
    </row>
    <row r="38" spans="2:15" ht="21" customHeight="1" x14ac:dyDescent="0.25">
      <c r="I38" s="32"/>
      <c r="L38" s="35"/>
    </row>
    <row r="39" spans="2:15" ht="21" customHeight="1" x14ac:dyDescent="0.25">
      <c r="I39" s="32"/>
    </row>
    <row r="40" spans="2:15" ht="21" customHeight="1" x14ac:dyDescent="0.25">
      <c r="I40" s="32"/>
    </row>
    <row r="41" spans="2:15" ht="21" customHeight="1" x14ac:dyDescent="0.25">
      <c r="I41" s="32"/>
    </row>
    <row r="42" spans="2:15" ht="21" customHeight="1" x14ac:dyDescent="0.25">
      <c r="I42" s="32"/>
    </row>
    <row r="43" spans="2:15" ht="21" customHeight="1" x14ac:dyDescent="0.25">
      <c r="I43" s="32"/>
    </row>
    <row r="44" spans="2:15" ht="21" customHeight="1" x14ac:dyDescent="0.25">
      <c r="I44" s="32"/>
    </row>
    <row r="45" spans="2:15" ht="21" customHeight="1" x14ac:dyDescent="0.25">
      <c r="I45" s="32"/>
    </row>
    <row r="46" spans="2:15" ht="21" customHeight="1" x14ac:dyDescent="0.25">
      <c r="I46" s="32"/>
    </row>
    <row r="47" spans="2:15" ht="21" customHeight="1" x14ac:dyDescent="0.25">
      <c r="I47" s="32"/>
    </row>
    <row r="48" spans="2:15" ht="21" customHeight="1" x14ac:dyDescent="0.25">
      <c r="I48" s="32"/>
    </row>
    <row r="49" spans="9:9" ht="21" customHeight="1" x14ac:dyDescent="0.25">
      <c r="I49" s="32"/>
    </row>
    <row r="50" spans="9:9" ht="21" customHeight="1" x14ac:dyDescent="0.25">
      <c r="I50" s="32"/>
    </row>
    <row r="51" spans="9:9" ht="21" customHeight="1" x14ac:dyDescent="0.25">
      <c r="I51" s="32"/>
    </row>
    <row r="52" spans="9:9" ht="21" customHeight="1" x14ac:dyDescent="0.25">
      <c r="I52" s="32"/>
    </row>
    <row r="53" spans="9:9" ht="21" customHeight="1" x14ac:dyDescent="0.25">
      <c r="I53" s="32"/>
    </row>
    <row r="54" spans="9:9" ht="21" customHeight="1" x14ac:dyDescent="0.25">
      <c r="I54" s="32"/>
    </row>
    <row r="55" spans="9:9" ht="21" customHeight="1" x14ac:dyDescent="0.25">
      <c r="I55" s="32"/>
    </row>
    <row r="56" spans="9:9" ht="21" customHeight="1" x14ac:dyDescent="0.25">
      <c r="I56" s="32"/>
    </row>
    <row r="57" spans="9:9" ht="21" customHeight="1" x14ac:dyDescent="0.25">
      <c r="I57" s="32"/>
    </row>
    <row r="58" spans="9:9" ht="21" customHeight="1" x14ac:dyDescent="0.25">
      <c r="I58" s="32"/>
    </row>
    <row r="59" spans="9:9" ht="21" customHeight="1" x14ac:dyDescent="0.25">
      <c r="I59" s="32"/>
    </row>
    <row r="60" spans="9:9" ht="21" customHeight="1" x14ac:dyDescent="0.25">
      <c r="I60" s="32"/>
    </row>
    <row r="61" spans="9:9" ht="21" customHeight="1" x14ac:dyDescent="0.25">
      <c r="I61" s="32"/>
    </row>
    <row r="62" spans="9:9" ht="21" customHeight="1" x14ac:dyDescent="0.25">
      <c r="I62" s="32"/>
    </row>
    <row r="63" spans="9:9" ht="21" customHeight="1" x14ac:dyDescent="0.25">
      <c r="I63" s="32"/>
    </row>
    <row r="64" spans="9:9" ht="21" customHeight="1" x14ac:dyDescent="0.25">
      <c r="I64" s="32"/>
    </row>
    <row r="65" spans="9:9" ht="21" customHeight="1" x14ac:dyDescent="0.25">
      <c r="I65" s="32"/>
    </row>
    <row r="66" spans="9:9" ht="21" customHeight="1" x14ac:dyDescent="0.25">
      <c r="I66" s="32"/>
    </row>
    <row r="67" spans="9:9" ht="21" customHeight="1" x14ac:dyDescent="0.25">
      <c r="I67" s="32"/>
    </row>
    <row r="68" spans="9:9" ht="21" customHeight="1" x14ac:dyDescent="0.25">
      <c r="I68" s="32"/>
    </row>
    <row r="69" spans="9:9" ht="21" customHeight="1" x14ac:dyDescent="0.25">
      <c r="I69" s="32"/>
    </row>
    <row r="70" spans="9:9" ht="21" customHeight="1" x14ac:dyDescent="0.25">
      <c r="I70" s="32"/>
    </row>
    <row r="71" spans="9:9" ht="21" customHeight="1" x14ac:dyDescent="0.25">
      <c r="I71" s="32"/>
    </row>
    <row r="72" spans="9:9" ht="21" customHeight="1" x14ac:dyDescent="0.25">
      <c r="I72" s="32"/>
    </row>
    <row r="73" spans="9:9" ht="21" customHeight="1" x14ac:dyDescent="0.25">
      <c r="I73" s="32"/>
    </row>
    <row r="74" spans="9:9" ht="21" customHeight="1" x14ac:dyDescent="0.25">
      <c r="I74" s="32"/>
    </row>
    <row r="75" spans="9:9" ht="21" customHeight="1" x14ac:dyDescent="0.25">
      <c r="I75" s="32"/>
    </row>
    <row r="76" spans="9:9" ht="21" customHeight="1" x14ac:dyDescent="0.25">
      <c r="I76" s="32"/>
    </row>
    <row r="77" spans="9:9" ht="21" customHeight="1" x14ac:dyDescent="0.25">
      <c r="I77" s="32"/>
    </row>
    <row r="78" spans="9:9" ht="21" customHeight="1" x14ac:dyDescent="0.25">
      <c r="I78" s="32"/>
    </row>
    <row r="79" spans="9:9" ht="21" customHeight="1" x14ac:dyDescent="0.25">
      <c r="I79" s="32"/>
    </row>
    <row r="80" spans="9:9" ht="21" customHeight="1" x14ac:dyDescent="0.25">
      <c r="I80" s="32"/>
    </row>
    <row r="81" spans="9:9" ht="21" customHeight="1" x14ac:dyDescent="0.25">
      <c r="I81" s="32"/>
    </row>
    <row r="82" spans="9:9" ht="21" customHeight="1" x14ac:dyDescent="0.25">
      <c r="I82" s="32"/>
    </row>
    <row r="83" spans="9:9" ht="21" customHeight="1" x14ac:dyDescent="0.25">
      <c r="I83" s="32"/>
    </row>
    <row r="84" spans="9:9" ht="21" customHeight="1" x14ac:dyDescent="0.25">
      <c r="I84" s="32"/>
    </row>
    <row r="85" spans="9:9" ht="21" customHeight="1" x14ac:dyDescent="0.25">
      <c r="I85" s="32"/>
    </row>
    <row r="86" spans="9:9" ht="21" customHeight="1" x14ac:dyDescent="0.25">
      <c r="I86" s="32"/>
    </row>
    <row r="87" spans="9:9" ht="21" customHeight="1" x14ac:dyDescent="0.25">
      <c r="I87" s="32"/>
    </row>
    <row r="88" spans="9:9" ht="21" customHeight="1" x14ac:dyDescent="0.25">
      <c r="I88" s="32"/>
    </row>
    <row r="89" spans="9:9" ht="21" customHeight="1" x14ac:dyDescent="0.25">
      <c r="I89" s="32"/>
    </row>
    <row r="90" spans="9:9" ht="21" customHeight="1" x14ac:dyDescent="0.25">
      <c r="I90" s="32"/>
    </row>
    <row r="91" spans="9:9" ht="21" customHeight="1" x14ac:dyDescent="0.25">
      <c r="I91" s="32"/>
    </row>
    <row r="92" spans="9:9" ht="21" customHeight="1" x14ac:dyDescent="0.25">
      <c r="I92" s="32"/>
    </row>
    <row r="93" spans="9:9" ht="21" customHeight="1" x14ac:dyDescent="0.25">
      <c r="I93" s="32"/>
    </row>
    <row r="94" spans="9:9" ht="21" customHeight="1" x14ac:dyDescent="0.25">
      <c r="I94" s="32"/>
    </row>
    <row r="95" spans="9:9" ht="21" customHeight="1" x14ac:dyDescent="0.25">
      <c r="I95" s="32"/>
    </row>
    <row r="96" spans="9:9" ht="21" customHeight="1" x14ac:dyDescent="0.25">
      <c r="I96" s="32"/>
    </row>
    <row r="97" spans="9:9" ht="21" customHeight="1" x14ac:dyDescent="0.25">
      <c r="I97" s="32"/>
    </row>
    <row r="98" spans="9:9" ht="21" customHeight="1" x14ac:dyDescent="0.25">
      <c r="I98" s="32"/>
    </row>
    <row r="99" spans="9:9" ht="21" customHeight="1" x14ac:dyDescent="0.25">
      <c r="I99" s="32"/>
    </row>
    <row r="100" spans="9:9" ht="21" customHeight="1" x14ac:dyDescent="0.25">
      <c r="I100" s="32"/>
    </row>
    <row r="101" spans="9:9" ht="21" customHeight="1" x14ac:dyDescent="0.25">
      <c r="I101" s="32"/>
    </row>
    <row r="102" spans="9:9" ht="21" customHeight="1" x14ac:dyDescent="0.25">
      <c r="I102" s="32"/>
    </row>
    <row r="103" spans="9:9" ht="21" customHeight="1" x14ac:dyDescent="0.25">
      <c r="I103" s="32"/>
    </row>
    <row r="104" spans="9:9" ht="21" customHeight="1" x14ac:dyDescent="0.25">
      <c r="I104" s="32"/>
    </row>
    <row r="105" spans="9:9" ht="21" customHeight="1" x14ac:dyDescent="0.25">
      <c r="I105" s="32"/>
    </row>
    <row r="106" spans="9:9" ht="21" customHeight="1" x14ac:dyDescent="0.25">
      <c r="I106" s="32"/>
    </row>
    <row r="107" spans="9:9" ht="21" customHeight="1" x14ac:dyDescent="0.25">
      <c r="I107" s="32"/>
    </row>
    <row r="108" spans="9:9" ht="21" customHeight="1" x14ac:dyDescent="0.25">
      <c r="I108" s="32"/>
    </row>
    <row r="109" spans="9:9" ht="21" customHeight="1" x14ac:dyDescent="0.25">
      <c r="I109" s="32"/>
    </row>
    <row r="110" spans="9:9" ht="21" customHeight="1" x14ac:dyDescent="0.25">
      <c r="I110" s="32"/>
    </row>
    <row r="111" spans="9:9" ht="21" customHeight="1" x14ac:dyDescent="0.25">
      <c r="I111" s="32"/>
    </row>
    <row r="112" spans="9:9" ht="21" customHeight="1" x14ac:dyDescent="0.25">
      <c r="I112" s="32"/>
    </row>
    <row r="113" spans="9:9" ht="21" customHeight="1" x14ac:dyDescent="0.25">
      <c r="I113" s="32"/>
    </row>
    <row r="114" spans="9:9" ht="21" customHeight="1" x14ac:dyDescent="0.25">
      <c r="I114" s="32"/>
    </row>
    <row r="115" spans="9:9" ht="21" customHeight="1" x14ac:dyDescent="0.25">
      <c r="I115" s="32"/>
    </row>
    <row r="116" spans="9:9" ht="21" customHeight="1" x14ac:dyDescent="0.25">
      <c r="I116" s="32"/>
    </row>
    <row r="117" spans="9:9" ht="21" customHeight="1" x14ac:dyDescent="0.25">
      <c r="I117" s="32"/>
    </row>
    <row r="118" spans="9:9" ht="21" customHeight="1" x14ac:dyDescent="0.25">
      <c r="I118" s="32"/>
    </row>
    <row r="119" spans="9:9" ht="21" customHeight="1" x14ac:dyDescent="0.25">
      <c r="I119" s="32"/>
    </row>
    <row r="120" spans="9:9" ht="21" customHeight="1" x14ac:dyDescent="0.25">
      <c r="I120" s="32"/>
    </row>
    <row r="121" spans="9:9" ht="21" customHeight="1" x14ac:dyDescent="0.25">
      <c r="I121" s="32"/>
    </row>
    <row r="122" spans="9:9" ht="21" customHeight="1" x14ac:dyDescent="0.25">
      <c r="I122" s="32"/>
    </row>
    <row r="123" spans="9:9" ht="21" customHeight="1" x14ac:dyDescent="0.25">
      <c r="I123" s="32"/>
    </row>
    <row r="124" spans="9:9" ht="21" customHeight="1" x14ac:dyDescent="0.25">
      <c r="I124" s="32"/>
    </row>
    <row r="125" spans="9:9" ht="21" customHeight="1" x14ac:dyDescent="0.25">
      <c r="I125" s="32"/>
    </row>
    <row r="126" spans="9:9" ht="21" customHeight="1" x14ac:dyDescent="0.25">
      <c r="I126" s="32"/>
    </row>
    <row r="127" spans="9:9" ht="21" customHeight="1" x14ac:dyDescent="0.25">
      <c r="I127" s="32"/>
    </row>
    <row r="128" spans="9:9" ht="21" customHeight="1" x14ac:dyDescent="0.25">
      <c r="I128" s="32"/>
    </row>
    <row r="129" spans="9:9" ht="21" customHeight="1" x14ac:dyDescent="0.25">
      <c r="I129" s="32"/>
    </row>
    <row r="130" spans="9:9" ht="21" customHeight="1" x14ac:dyDescent="0.25">
      <c r="I130" s="32"/>
    </row>
    <row r="131" spans="9:9" ht="21" customHeight="1" x14ac:dyDescent="0.25">
      <c r="I131" s="32"/>
    </row>
    <row r="132" spans="9:9" ht="21" customHeight="1" x14ac:dyDescent="0.25">
      <c r="I132" s="32"/>
    </row>
    <row r="133" spans="9:9" ht="21" customHeight="1" x14ac:dyDescent="0.25">
      <c r="I133" s="32"/>
    </row>
    <row r="134" spans="9:9" ht="21" customHeight="1" x14ac:dyDescent="0.25">
      <c r="I134" s="32"/>
    </row>
    <row r="135" spans="9:9" ht="21" customHeight="1" x14ac:dyDescent="0.25">
      <c r="I135" s="32"/>
    </row>
    <row r="136" spans="9:9" ht="21" customHeight="1" x14ac:dyDescent="0.25">
      <c r="I136" s="32"/>
    </row>
    <row r="137" spans="9:9" ht="21" customHeight="1" x14ac:dyDescent="0.25">
      <c r="I137" s="32"/>
    </row>
    <row r="138" spans="9:9" ht="21" customHeight="1" x14ac:dyDescent="0.25">
      <c r="I138" s="32"/>
    </row>
    <row r="139" spans="9:9" ht="21" customHeight="1" x14ac:dyDescent="0.25">
      <c r="I139" s="32"/>
    </row>
    <row r="140" spans="9:9" ht="21" customHeight="1" x14ac:dyDescent="0.25">
      <c r="I140" s="32"/>
    </row>
    <row r="141" spans="9:9" ht="21" customHeight="1" x14ac:dyDescent="0.25">
      <c r="I141" s="32"/>
    </row>
    <row r="142" spans="9:9" ht="21" customHeight="1" x14ac:dyDescent="0.25">
      <c r="I142" s="32"/>
    </row>
    <row r="143" spans="9:9" ht="21" customHeight="1" x14ac:dyDescent="0.25">
      <c r="I143" s="32"/>
    </row>
    <row r="144" spans="9:9" ht="21" customHeight="1" x14ac:dyDescent="0.25">
      <c r="I144" s="32"/>
    </row>
    <row r="145" spans="9:9" ht="21" customHeight="1" x14ac:dyDescent="0.25">
      <c r="I145" s="32"/>
    </row>
    <row r="146" spans="9:9" ht="21" customHeight="1" x14ac:dyDescent="0.25">
      <c r="I146" s="32"/>
    </row>
    <row r="147" spans="9:9" ht="21" customHeight="1" x14ac:dyDescent="0.25">
      <c r="I147" s="32"/>
    </row>
    <row r="148" spans="9:9" ht="21" customHeight="1" x14ac:dyDescent="0.25">
      <c r="I148" s="32"/>
    </row>
    <row r="149" spans="9:9" ht="21" customHeight="1" x14ac:dyDescent="0.25">
      <c r="I149" s="32"/>
    </row>
    <row r="150" spans="9:9" ht="21" customHeight="1" x14ac:dyDescent="0.25">
      <c r="I150" s="32"/>
    </row>
    <row r="151" spans="9:9" ht="21" customHeight="1" x14ac:dyDescent="0.25">
      <c r="I151" s="32"/>
    </row>
    <row r="152" spans="9:9" ht="21" customHeight="1" x14ac:dyDescent="0.25">
      <c r="I152" s="32"/>
    </row>
    <row r="153" spans="9:9" ht="21" customHeight="1" x14ac:dyDescent="0.25">
      <c r="I153" s="32"/>
    </row>
    <row r="154" spans="9:9" ht="21" customHeight="1" x14ac:dyDescent="0.25">
      <c r="I154" s="32"/>
    </row>
    <row r="155" spans="9:9" ht="21" customHeight="1" x14ac:dyDescent="0.25">
      <c r="I155" s="32"/>
    </row>
    <row r="156" spans="9:9" ht="21" customHeight="1" x14ac:dyDescent="0.25">
      <c r="I156" s="32"/>
    </row>
    <row r="157" spans="9:9" ht="21" customHeight="1" x14ac:dyDescent="0.25">
      <c r="I157" s="32"/>
    </row>
    <row r="158" spans="9:9" ht="21" customHeight="1" x14ac:dyDescent="0.25">
      <c r="I158" s="32"/>
    </row>
    <row r="159" spans="9:9" ht="21" customHeight="1" x14ac:dyDescent="0.25">
      <c r="I159" s="32"/>
    </row>
    <row r="160" spans="9:9" ht="21" customHeight="1" x14ac:dyDescent="0.25">
      <c r="I160" s="32"/>
    </row>
    <row r="161" spans="9:9" ht="21" customHeight="1" x14ac:dyDescent="0.25">
      <c r="I161" s="32"/>
    </row>
    <row r="162" spans="9:9" ht="21" customHeight="1" x14ac:dyDescent="0.25">
      <c r="I162" s="32"/>
    </row>
    <row r="163" spans="9:9" ht="21" customHeight="1" x14ac:dyDescent="0.25">
      <c r="I163" s="32"/>
    </row>
    <row r="164" spans="9:9" ht="21" customHeight="1" x14ac:dyDescent="0.25">
      <c r="I164" s="32"/>
    </row>
    <row r="165" spans="9:9" ht="21" customHeight="1" x14ac:dyDescent="0.25">
      <c r="I165" s="32"/>
    </row>
    <row r="166" spans="9:9" ht="21" customHeight="1" x14ac:dyDescent="0.25">
      <c r="I166" s="32"/>
    </row>
    <row r="167" spans="9:9" ht="21" customHeight="1" x14ac:dyDescent="0.25">
      <c r="I167" s="32"/>
    </row>
    <row r="168" spans="9:9" ht="21" customHeight="1" x14ac:dyDescent="0.25">
      <c r="I168" s="32"/>
    </row>
    <row r="169" spans="9:9" ht="21" customHeight="1" x14ac:dyDescent="0.25">
      <c r="I169" s="32"/>
    </row>
    <row r="170" spans="9:9" ht="21" customHeight="1" x14ac:dyDescent="0.25">
      <c r="I170" s="32"/>
    </row>
    <row r="171" spans="9:9" ht="21" customHeight="1" x14ac:dyDescent="0.25">
      <c r="I171" s="32"/>
    </row>
    <row r="172" spans="9:9" ht="21" customHeight="1" x14ac:dyDescent="0.25">
      <c r="I172" s="32"/>
    </row>
    <row r="173" spans="9:9" ht="21" customHeight="1" x14ac:dyDescent="0.25">
      <c r="I173" s="32"/>
    </row>
    <row r="174" spans="9:9" ht="21" customHeight="1" x14ac:dyDescent="0.25">
      <c r="I174" s="32"/>
    </row>
    <row r="175" spans="9:9" ht="21" customHeight="1" x14ac:dyDescent="0.25">
      <c r="I175" s="32"/>
    </row>
    <row r="176" spans="9:9" ht="21" customHeight="1" x14ac:dyDescent="0.25">
      <c r="I176" s="32"/>
    </row>
    <row r="177" spans="9:9" ht="21" customHeight="1" x14ac:dyDescent="0.25">
      <c r="I177" s="32"/>
    </row>
    <row r="178" spans="9:9" ht="21" customHeight="1" x14ac:dyDescent="0.25">
      <c r="I178" s="32"/>
    </row>
    <row r="179" spans="9:9" ht="21" customHeight="1" x14ac:dyDescent="0.25">
      <c r="I179" s="32"/>
    </row>
    <row r="180" spans="9:9" ht="21" customHeight="1" x14ac:dyDescent="0.25">
      <c r="I180" s="32"/>
    </row>
    <row r="181" spans="9:9" ht="21" customHeight="1" x14ac:dyDescent="0.25">
      <c r="I181" s="32"/>
    </row>
    <row r="182" spans="9:9" ht="21" customHeight="1" x14ac:dyDescent="0.25">
      <c r="I182" s="32"/>
    </row>
    <row r="183" spans="9:9" ht="21" customHeight="1" x14ac:dyDescent="0.25">
      <c r="I183" s="32"/>
    </row>
    <row r="184" spans="9:9" ht="21" customHeight="1" x14ac:dyDescent="0.25">
      <c r="I184" s="32"/>
    </row>
    <row r="185" spans="9:9" ht="21" customHeight="1" x14ac:dyDescent="0.25">
      <c r="I185" s="32"/>
    </row>
    <row r="186" spans="9:9" ht="21" customHeight="1" x14ac:dyDescent="0.25">
      <c r="I186" s="32"/>
    </row>
    <row r="187" spans="9:9" ht="21" customHeight="1" x14ac:dyDescent="0.25">
      <c r="I187" s="32"/>
    </row>
    <row r="188" spans="9:9" ht="21" customHeight="1" x14ac:dyDescent="0.25">
      <c r="I188" s="32"/>
    </row>
    <row r="189" spans="9:9" ht="21" customHeight="1" x14ac:dyDescent="0.25">
      <c r="I189" s="32"/>
    </row>
    <row r="190" spans="9:9" ht="21" customHeight="1" x14ac:dyDescent="0.25">
      <c r="I190" s="32"/>
    </row>
    <row r="191" spans="9:9" ht="21" customHeight="1" x14ac:dyDescent="0.25">
      <c r="I191" s="32"/>
    </row>
    <row r="192" spans="9:9" ht="21" customHeight="1" x14ac:dyDescent="0.25">
      <c r="I192" s="32"/>
    </row>
    <row r="193" spans="9:9" ht="21" customHeight="1" x14ac:dyDescent="0.25">
      <c r="I193" s="32"/>
    </row>
    <row r="194" spans="9:9" ht="21" customHeight="1" x14ac:dyDescent="0.25">
      <c r="I194" s="32"/>
    </row>
    <row r="195" spans="9:9" ht="21" customHeight="1" x14ac:dyDescent="0.25">
      <c r="I195" s="32"/>
    </row>
    <row r="196" spans="9:9" ht="21" customHeight="1" x14ac:dyDescent="0.25">
      <c r="I196" s="32"/>
    </row>
    <row r="197" spans="9:9" ht="21" customHeight="1" x14ac:dyDescent="0.25">
      <c r="I197" s="32"/>
    </row>
    <row r="198" spans="9:9" ht="21" customHeight="1" x14ac:dyDescent="0.25">
      <c r="I198" s="32"/>
    </row>
    <row r="199" spans="9:9" ht="21" customHeight="1" x14ac:dyDescent="0.25">
      <c r="I199" s="32"/>
    </row>
    <row r="200" spans="9:9" ht="21" customHeight="1" x14ac:dyDescent="0.25">
      <c r="I200" s="32"/>
    </row>
    <row r="201" spans="9:9" ht="21" customHeight="1" x14ac:dyDescent="0.25">
      <c r="I201" s="32"/>
    </row>
    <row r="202" spans="9:9" ht="21" customHeight="1" x14ac:dyDescent="0.25">
      <c r="I202" s="32"/>
    </row>
    <row r="203" spans="9:9" ht="21" customHeight="1" x14ac:dyDescent="0.25">
      <c r="I203" s="32"/>
    </row>
    <row r="204" spans="9:9" ht="21" customHeight="1" x14ac:dyDescent="0.25">
      <c r="I204" s="32"/>
    </row>
    <row r="205" spans="9:9" ht="21" customHeight="1" x14ac:dyDescent="0.25">
      <c r="I205" s="32"/>
    </row>
    <row r="206" spans="9:9" ht="21" customHeight="1" x14ac:dyDescent="0.25">
      <c r="I206" s="32"/>
    </row>
    <row r="207" spans="9:9" ht="21" customHeight="1" x14ac:dyDescent="0.25">
      <c r="I207" s="32"/>
    </row>
    <row r="208" spans="9:9" ht="21" customHeight="1" x14ac:dyDescent="0.25">
      <c r="I208" s="32"/>
    </row>
    <row r="209" spans="9:9" ht="21" customHeight="1" x14ac:dyDescent="0.25">
      <c r="I209" s="32"/>
    </row>
    <row r="210" spans="9:9" ht="21" customHeight="1" x14ac:dyDescent="0.25">
      <c r="I210" s="32"/>
    </row>
    <row r="211" spans="9:9" ht="21" customHeight="1" x14ac:dyDescent="0.25">
      <c r="I211" s="32"/>
    </row>
    <row r="212" spans="9:9" ht="21" customHeight="1" x14ac:dyDescent="0.25">
      <c r="I212" s="32"/>
    </row>
    <row r="213" spans="9:9" ht="21" customHeight="1" x14ac:dyDescent="0.25">
      <c r="I213" s="32"/>
    </row>
    <row r="214" spans="9:9" ht="21" customHeight="1" x14ac:dyDescent="0.25">
      <c r="I214" s="32"/>
    </row>
    <row r="215" spans="9:9" ht="21" customHeight="1" x14ac:dyDescent="0.25">
      <c r="I215" s="32"/>
    </row>
    <row r="216" spans="9:9" ht="21" customHeight="1" x14ac:dyDescent="0.25">
      <c r="I216" s="32"/>
    </row>
    <row r="217" spans="9:9" ht="21" customHeight="1" x14ac:dyDescent="0.25">
      <c r="I217" s="32"/>
    </row>
    <row r="218" spans="9:9" ht="21" customHeight="1" x14ac:dyDescent="0.25">
      <c r="I218" s="32"/>
    </row>
    <row r="219" spans="9:9" ht="21" customHeight="1" x14ac:dyDescent="0.25">
      <c r="I219" s="32"/>
    </row>
    <row r="220" spans="9:9" ht="21" customHeight="1" x14ac:dyDescent="0.25">
      <c r="I220" s="32"/>
    </row>
    <row r="221" spans="9:9" ht="21" customHeight="1" x14ac:dyDescent="0.25">
      <c r="I221" s="32"/>
    </row>
    <row r="222" spans="9:9" ht="21" customHeight="1" x14ac:dyDescent="0.25">
      <c r="I222" s="32"/>
    </row>
    <row r="223" spans="9:9" ht="21" customHeight="1" x14ac:dyDescent="0.25">
      <c r="I223" s="32"/>
    </row>
    <row r="224" spans="9:9" ht="21" customHeight="1" x14ac:dyDescent="0.25">
      <c r="I224" s="32"/>
    </row>
    <row r="225" spans="9:9" ht="21" customHeight="1" x14ac:dyDescent="0.25">
      <c r="I225" s="32"/>
    </row>
    <row r="226" spans="9:9" ht="21" customHeight="1" x14ac:dyDescent="0.25">
      <c r="I226" s="32"/>
    </row>
    <row r="227" spans="9:9" ht="21" customHeight="1" x14ac:dyDescent="0.25">
      <c r="I227" s="32"/>
    </row>
    <row r="228" spans="9:9" ht="21" customHeight="1" x14ac:dyDescent="0.25">
      <c r="I228" s="32"/>
    </row>
    <row r="229" spans="9:9" ht="21" customHeight="1" x14ac:dyDescent="0.25">
      <c r="I229" s="32"/>
    </row>
    <row r="230" spans="9:9" ht="21" customHeight="1" x14ac:dyDescent="0.25">
      <c r="I230" s="32"/>
    </row>
    <row r="231" spans="9:9" ht="21" customHeight="1" x14ac:dyDescent="0.25">
      <c r="I231" s="32"/>
    </row>
    <row r="232" spans="9:9" ht="21" customHeight="1" x14ac:dyDescent="0.25">
      <c r="I232" s="32"/>
    </row>
    <row r="233" spans="9:9" ht="21" customHeight="1" x14ac:dyDescent="0.25">
      <c r="I233" s="32"/>
    </row>
    <row r="234" spans="9:9" ht="21" customHeight="1" x14ac:dyDescent="0.25">
      <c r="I234" s="32"/>
    </row>
    <row r="235" spans="9:9" ht="21" customHeight="1" x14ac:dyDescent="0.25">
      <c r="I235" s="32"/>
    </row>
    <row r="236" spans="9:9" ht="21" customHeight="1" x14ac:dyDescent="0.25">
      <c r="I236" s="32"/>
    </row>
    <row r="237" spans="9:9" ht="21" customHeight="1" x14ac:dyDescent="0.25">
      <c r="I237" s="32"/>
    </row>
    <row r="238" spans="9:9" ht="21" customHeight="1" x14ac:dyDescent="0.25">
      <c r="I238" s="32"/>
    </row>
    <row r="239" spans="9:9" ht="21" customHeight="1" x14ac:dyDescent="0.25">
      <c r="I239" s="32"/>
    </row>
    <row r="240" spans="9:9" ht="21" customHeight="1" x14ac:dyDescent="0.25">
      <c r="I240" s="32"/>
    </row>
    <row r="241" spans="9:9" ht="21" customHeight="1" x14ac:dyDescent="0.25">
      <c r="I241" s="32"/>
    </row>
    <row r="242" spans="9:9" ht="21" customHeight="1" x14ac:dyDescent="0.25">
      <c r="I242" s="32"/>
    </row>
    <row r="243" spans="9:9" ht="21" customHeight="1" x14ac:dyDescent="0.25">
      <c r="I243" s="32"/>
    </row>
    <row r="244" spans="9:9" ht="21" customHeight="1" x14ac:dyDescent="0.25">
      <c r="I244" s="32"/>
    </row>
    <row r="245" spans="9:9" ht="21" customHeight="1" x14ac:dyDescent="0.25">
      <c r="I245" s="32"/>
    </row>
    <row r="246" spans="9:9" ht="21" customHeight="1" x14ac:dyDescent="0.25">
      <c r="I246" s="32"/>
    </row>
    <row r="247" spans="9:9" ht="21" customHeight="1" x14ac:dyDescent="0.25">
      <c r="I247" s="32"/>
    </row>
    <row r="248" spans="9:9" ht="21" customHeight="1" x14ac:dyDescent="0.25">
      <c r="I248" s="32"/>
    </row>
    <row r="249" spans="9:9" ht="21" customHeight="1" x14ac:dyDescent="0.25">
      <c r="I249" s="32"/>
    </row>
    <row r="250" spans="9:9" ht="21" customHeight="1" x14ac:dyDescent="0.25">
      <c r="I250" s="32"/>
    </row>
    <row r="251" spans="9:9" ht="21" customHeight="1" x14ac:dyDescent="0.25">
      <c r="I251" s="32"/>
    </row>
    <row r="252" spans="9:9" ht="21" customHeight="1" x14ac:dyDescent="0.25">
      <c r="I252" s="32"/>
    </row>
    <row r="253" spans="9:9" ht="21" customHeight="1" x14ac:dyDescent="0.25">
      <c r="I253" s="32"/>
    </row>
    <row r="254" spans="9:9" ht="21" customHeight="1" x14ac:dyDescent="0.25">
      <c r="I254" s="32"/>
    </row>
    <row r="255" spans="9:9" ht="21" customHeight="1" x14ac:dyDescent="0.25">
      <c r="I255" s="32"/>
    </row>
    <row r="256" spans="9:9" ht="21" customHeight="1" x14ac:dyDescent="0.25">
      <c r="I256" s="32"/>
    </row>
    <row r="257" spans="9:9" ht="21" customHeight="1" x14ac:dyDescent="0.25">
      <c r="I257" s="32"/>
    </row>
    <row r="258" spans="9:9" ht="21" customHeight="1" x14ac:dyDescent="0.25">
      <c r="I258" s="32"/>
    </row>
    <row r="259" spans="9:9" ht="21" customHeight="1" x14ac:dyDescent="0.25">
      <c r="I259" s="32"/>
    </row>
    <row r="260" spans="9:9" ht="21" customHeight="1" x14ac:dyDescent="0.25">
      <c r="I260" s="32"/>
    </row>
    <row r="261" spans="9:9" ht="21" customHeight="1" x14ac:dyDescent="0.25">
      <c r="I261" s="32"/>
    </row>
    <row r="262" spans="9:9" ht="21" customHeight="1" x14ac:dyDescent="0.25">
      <c r="I262" s="32"/>
    </row>
    <row r="263" spans="9:9" ht="21" customHeight="1" x14ac:dyDescent="0.25">
      <c r="I263" s="32"/>
    </row>
    <row r="264" spans="9:9" ht="21" customHeight="1" x14ac:dyDescent="0.25">
      <c r="I264" s="32"/>
    </row>
    <row r="265" spans="9:9" ht="21" customHeight="1" x14ac:dyDescent="0.25">
      <c r="I265" s="32"/>
    </row>
    <row r="266" spans="9:9" ht="21" customHeight="1" x14ac:dyDescent="0.25">
      <c r="I266" s="32"/>
    </row>
    <row r="267" spans="9:9" ht="21" customHeight="1" x14ac:dyDescent="0.25">
      <c r="I267" s="32"/>
    </row>
    <row r="268" spans="9:9" ht="21" customHeight="1" x14ac:dyDescent="0.25">
      <c r="I268" s="32"/>
    </row>
    <row r="269" spans="9:9" ht="21" customHeight="1" x14ac:dyDescent="0.25">
      <c r="I269" s="32"/>
    </row>
    <row r="270" spans="9:9" ht="21" customHeight="1" x14ac:dyDescent="0.25">
      <c r="I270" s="32"/>
    </row>
    <row r="271" spans="9:9" ht="21" customHeight="1" x14ac:dyDescent="0.25">
      <c r="I271" s="32"/>
    </row>
    <row r="272" spans="9:9" ht="21" customHeight="1" x14ac:dyDescent="0.25">
      <c r="I272" s="32"/>
    </row>
    <row r="273" spans="9:9" ht="21" customHeight="1" x14ac:dyDescent="0.25">
      <c r="I273" s="32"/>
    </row>
    <row r="274" spans="9:9" ht="21" customHeight="1" x14ac:dyDescent="0.25">
      <c r="I274" s="32"/>
    </row>
    <row r="275" spans="9:9" ht="21" customHeight="1" x14ac:dyDescent="0.25">
      <c r="I275" s="32"/>
    </row>
    <row r="276" spans="9:9" ht="21" customHeight="1" x14ac:dyDescent="0.25">
      <c r="I276" s="32"/>
    </row>
    <row r="277" spans="9:9" ht="21" customHeight="1" x14ac:dyDescent="0.25">
      <c r="I277" s="32"/>
    </row>
    <row r="278" spans="9:9" ht="21" customHeight="1" x14ac:dyDescent="0.25">
      <c r="I278" s="32"/>
    </row>
    <row r="279" spans="9:9" ht="21" customHeight="1" x14ac:dyDescent="0.25">
      <c r="I279" s="32"/>
    </row>
    <row r="280" spans="9:9" ht="21" customHeight="1" x14ac:dyDescent="0.25">
      <c r="I280" s="32"/>
    </row>
    <row r="281" spans="9:9" ht="21" customHeight="1" x14ac:dyDescent="0.25">
      <c r="I281" s="32"/>
    </row>
    <row r="282" spans="9:9" ht="21" customHeight="1" x14ac:dyDescent="0.25">
      <c r="I282" s="32"/>
    </row>
    <row r="283" spans="9:9" ht="21" customHeight="1" x14ac:dyDescent="0.25">
      <c r="I283" s="32"/>
    </row>
    <row r="284" spans="9:9" ht="21" customHeight="1" x14ac:dyDescent="0.25">
      <c r="I284" s="32"/>
    </row>
    <row r="285" spans="9:9" ht="21" customHeight="1" x14ac:dyDescent="0.25">
      <c r="I285" s="32"/>
    </row>
    <row r="286" spans="9:9" ht="21" customHeight="1" x14ac:dyDescent="0.25">
      <c r="I286" s="32"/>
    </row>
    <row r="287" spans="9:9" ht="21" customHeight="1" x14ac:dyDescent="0.25">
      <c r="I287" s="32"/>
    </row>
    <row r="288" spans="9:9" ht="21" customHeight="1" x14ac:dyDescent="0.25">
      <c r="I288" s="32"/>
    </row>
    <row r="289" spans="9:9" ht="21" customHeight="1" x14ac:dyDescent="0.25">
      <c r="I289" s="32"/>
    </row>
    <row r="290" spans="9:9" ht="21" customHeight="1" x14ac:dyDescent="0.25">
      <c r="I290" s="32"/>
    </row>
    <row r="291" spans="9:9" ht="21" customHeight="1" x14ac:dyDescent="0.25">
      <c r="I291" s="32"/>
    </row>
    <row r="292" spans="9:9" ht="21" customHeight="1" x14ac:dyDescent="0.25">
      <c r="I292" s="32"/>
    </row>
    <row r="293" spans="9:9" ht="21" customHeight="1" x14ac:dyDescent="0.25">
      <c r="I293" s="32"/>
    </row>
    <row r="294" spans="9:9" ht="21" customHeight="1" x14ac:dyDescent="0.25">
      <c r="I294" s="32"/>
    </row>
    <row r="295" spans="9:9" ht="21" customHeight="1" x14ac:dyDescent="0.25">
      <c r="I295" s="32"/>
    </row>
    <row r="296" spans="9:9" ht="21" customHeight="1" x14ac:dyDescent="0.25">
      <c r="I296" s="32"/>
    </row>
    <row r="297" spans="9:9" ht="21" customHeight="1" x14ac:dyDescent="0.25">
      <c r="I297" s="32"/>
    </row>
    <row r="298" spans="9:9" ht="21" customHeight="1" x14ac:dyDescent="0.25">
      <c r="I298" s="32"/>
    </row>
    <row r="299" spans="9:9" ht="21" customHeight="1" x14ac:dyDescent="0.25">
      <c r="I299" s="32"/>
    </row>
    <row r="300" spans="9:9" ht="21" customHeight="1" x14ac:dyDescent="0.25">
      <c r="I300" s="32"/>
    </row>
    <row r="301" spans="9:9" ht="21" customHeight="1" x14ac:dyDescent="0.25">
      <c r="I301" s="32"/>
    </row>
    <row r="302" spans="9:9" ht="21" customHeight="1" x14ac:dyDescent="0.25">
      <c r="I302" s="32"/>
    </row>
    <row r="303" spans="9:9" ht="21" customHeight="1" x14ac:dyDescent="0.25">
      <c r="I303" s="32"/>
    </row>
    <row r="304" spans="9:9" ht="21" customHeight="1" x14ac:dyDescent="0.25">
      <c r="I304" s="32"/>
    </row>
    <row r="305" spans="9:9" ht="21" customHeight="1" x14ac:dyDescent="0.25">
      <c r="I305" s="32"/>
    </row>
    <row r="306" spans="9:9" ht="21" customHeight="1" x14ac:dyDescent="0.25">
      <c r="I306" s="32"/>
    </row>
    <row r="307" spans="9:9" ht="21" customHeight="1" x14ac:dyDescent="0.25">
      <c r="I307" s="32"/>
    </row>
    <row r="308" spans="9:9" ht="21" customHeight="1" x14ac:dyDescent="0.25">
      <c r="I308" s="32"/>
    </row>
    <row r="309" spans="9:9" ht="21" customHeight="1" x14ac:dyDescent="0.25">
      <c r="I309" s="32"/>
    </row>
    <row r="310" spans="9:9" ht="21" customHeight="1" x14ac:dyDescent="0.25">
      <c r="I310" s="32"/>
    </row>
    <row r="311" spans="9:9" ht="21" customHeight="1" x14ac:dyDescent="0.25">
      <c r="I311" s="32"/>
    </row>
    <row r="312" spans="9:9" ht="21" customHeight="1" x14ac:dyDescent="0.25">
      <c r="I312" s="32"/>
    </row>
    <row r="313" spans="9:9" ht="21" customHeight="1" x14ac:dyDescent="0.25">
      <c r="I313" s="32"/>
    </row>
    <row r="314" spans="9:9" ht="21" customHeight="1" x14ac:dyDescent="0.25">
      <c r="I314" s="32"/>
    </row>
    <row r="315" spans="9:9" ht="21" customHeight="1" x14ac:dyDescent="0.25">
      <c r="I315" s="32"/>
    </row>
    <row r="316" spans="9:9" ht="21" customHeight="1" x14ac:dyDescent="0.25">
      <c r="I316" s="32"/>
    </row>
    <row r="317" spans="9:9" ht="21" customHeight="1" x14ac:dyDescent="0.25">
      <c r="I317" s="32"/>
    </row>
    <row r="318" spans="9:9" ht="21" customHeight="1" x14ac:dyDescent="0.25">
      <c r="I318" s="32"/>
    </row>
    <row r="319" spans="9:9" ht="21" customHeight="1" x14ac:dyDescent="0.25">
      <c r="I319" s="32"/>
    </row>
    <row r="320" spans="9:9" ht="21" customHeight="1" x14ac:dyDescent="0.25">
      <c r="I320" s="32"/>
    </row>
    <row r="321" spans="9:9" ht="21" customHeight="1" x14ac:dyDescent="0.25">
      <c r="I321" s="32"/>
    </row>
    <row r="322" spans="9:9" ht="21" customHeight="1" x14ac:dyDescent="0.25">
      <c r="I322" s="32"/>
    </row>
    <row r="323" spans="9:9" ht="21" customHeight="1" x14ac:dyDescent="0.25">
      <c r="I323" s="32"/>
    </row>
    <row r="324" spans="9:9" ht="21" customHeight="1" x14ac:dyDescent="0.25">
      <c r="I324" s="32"/>
    </row>
    <row r="325" spans="9:9" ht="21" customHeight="1" x14ac:dyDescent="0.25">
      <c r="I325" s="32"/>
    </row>
    <row r="326" spans="9:9" ht="21" customHeight="1" x14ac:dyDescent="0.25">
      <c r="I326" s="32"/>
    </row>
    <row r="327" spans="9:9" ht="21" customHeight="1" x14ac:dyDescent="0.25">
      <c r="I327" s="32"/>
    </row>
    <row r="328" spans="9:9" ht="21" customHeight="1" x14ac:dyDescent="0.25">
      <c r="I328" s="32"/>
    </row>
    <row r="329" spans="9:9" ht="21" customHeight="1" x14ac:dyDescent="0.25">
      <c r="I329" s="32"/>
    </row>
    <row r="330" spans="9:9" ht="21" customHeight="1" x14ac:dyDescent="0.25">
      <c r="I330" s="32"/>
    </row>
    <row r="331" spans="9:9" ht="21" customHeight="1" x14ac:dyDescent="0.25">
      <c r="I331" s="32"/>
    </row>
    <row r="332" spans="9:9" ht="21" customHeight="1" x14ac:dyDescent="0.25">
      <c r="I332" s="32"/>
    </row>
    <row r="333" spans="9:9" ht="21" customHeight="1" x14ac:dyDescent="0.25">
      <c r="I333" s="32"/>
    </row>
    <row r="334" spans="9:9" ht="21" customHeight="1" x14ac:dyDescent="0.25">
      <c r="I334" s="32"/>
    </row>
    <row r="335" spans="9:9" ht="21" customHeight="1" x14ac:dyDescent="0.25">
      <c r="I335" s="32"/>
    </row>
    <row r="336" spans="9:9" ht="21" customHeight="1" x14ac:dyDescent="0.25">
      <c r="I336" s="32"/>
    </row>
    <row r="337" spans="9:9" ht="21" customHeight="1" x14ac:dyDescent="0.25">
      <c r="I337" s="32"/>
    </row>
    <row r="338" spans="9:9" ht="21" customHeight="1" x14ac:dyDescent="0.25">
      <c r="I338" s="32"/>
    </row>
    <row r="339" spans="9:9" ht="21" customHeight="1" x14ac:dyDescent="0.25">
      <c r="I339" s="32"/>
    </row>
    <row r="340" spans="9:9" ht="21" customHeight="1" x14ac:dyDescent="0.25">
      <c r="I340" s="32"/>
    </row>
    <row r="341" spans="9:9" ht="21" customHeight="1" x14ac:dyDescent="0.25">
      <c r="I341" s="32"/>
    </row>
    <row r="342" spans="9:9" ht="21" customHeight="1" x14ac:dyDescent="0.25">
      <c r="I342" s="32"/>
    </row>
    <row r="343" spans="9:9" ht="21" customHeight="1" x14ac:dyDescent="0.25">
      <c r="I343" s="32"/>
    </row>
    <row r="344" spans="9:9" ht="21" customHeight="1" x14ac:dyDescent="0.25">
      <c r="I344" s="32"/>
    </row>
    <row r="345" spans="9:9" ht="21" customHeight="1" x14ac:dyDescent="0.25">
      <c r="I345" s="32"/>
    </row>
    <row r="346" spans="9:9" ht="21" customHeight="1" x14ac:dyDescent="0.25">
      <c r="I346" s="32"/>
    </row>
    <row r="347" spans="9:9" ht="21" customHeight="1" x14ac:dyDescent="0.25">
      <c r="I347" s="32"/>
    </row>
    <row r="348" spans="9:9" ht="21" customHeight="1" x14ac:dyDescent="0.25">
      <c r="I348" s="32"/>
    </row>
    <row r="349" spans="9:9" ht="21" customHeight="1" x14ac:dyDescent="0.25">
      <c r="I349" s="32"/>
    </row>
    <row r="350" spans="9:9" ht="21" customHeight="1" x14ac:dyDescent="0.25">
      <c r="I350" s="32"/>
    </row>
    <row r="351" spans="9:9" ht="21" customHeight="1" x14ac:dyDescent="0.25">
      <c r="I351" s="32"/>
    </row>
    <row r="352" spans="9:9" ht="21" customHeight="1" x14ac:dyDescent="0.25">
      <c r="I352" s="32"/>
    </row>
    <row r="353" spans="9:9" ht="21" customHeight="1" x14ac:dyDescent="0.25">
      <c r="I353" s="32"/>
    </row>
    <row r="354" spans="9:9" ht="21" customHeight="1" x14ac:dyDescent="0.25">
      <c r="I354" s="32"/>
    </row>
    <row r="355" spans="9:9" ht="21" customHeight="1" x14ac:dyDescent="0.25">
      <c r="I355" s="32"/>
    </row>
    <row r="356" spans="9:9" ht="21" customHeight="1" x14ac:dyDescent="0.25">
      <c r="I356" s="32"/>
    </row>
    <row r="357" spans="9:9" ht="21" customHeight="1" x14ac:dyDescent="0.25">
      <c r="I357" s="32"/>
    </row>
    <row r="358" spans="9:9" ht="21" customHeight="1" x14ac:dyDescent="0.25">
      <c r="I358" s="32"/>
    </row>
    <row r="359" spans="9:9" ht="21" customHeight="1" x14ac:dyDescent="0.25">
      <c r="I359" s="32"/>
    </row>
    <row r="360" spans="9:9" ht="21" customHeight="1" x14ac:dyDescent="0.25">
      <c r="I360" s="32"/>
    </row>
    <row r="361" spans="9:9" ht="21" customHeight="1" x14ac:dyDescent="0.25">
      <c r="I361" s="32"/>
    </row>
    <row r="362" spans="9:9" ht="21" customHeight="1" x14ac:dyDescent="0.25">
      <c r="I362" s="32"/>
    </row>
    <row r="363" spans="9:9" ht="21" customHeight="1" x14ac:dyDescent="0.25">
      <c r="I363" s="32"/>
    </row>
    <row r="364" spans="9:9" ht="21" customHeight="1" x14ac:dyDescent="0.25">
      <c r="I364" s="32"/>
    </row>
    <row r="365" spans="9:9" ht="21" customHeight="1" x14ac:dyDescent="0.25">
      <c r="I365" s="32"/>
    </row>
    <row r="366" spans="9:9" ht="21" customHeight="1" x14ac:dyDescent="0.25">
      <c r="I366" s="32"/>
    </row>
    <row r="367" spans="9:9" ht="21" customHeight="1" x14ac:dyDescent="0.25">
      <c r="I367" s="32"/>
    </row>
    <row r="368" spans="9:9" ht="21" customHeight="1" x14ac:dyDescent="0.25">
      <c r="I368" s="32"/>
    </row>
    <row r="369" spans="9:9" ht="21" customHeight="1" x14ac:dyDescent="0.25">
      <c r="I369" s="32"/>
    </row>
    <row r="370" spans="9:9" ht="21" customHeight="1" x14ac:dyDescent="0.25">
      <c r="I370" s="32"/>
    </row>
    <row r="371" spans="9:9" ht="21" customHeight="1" x14ac:dyDescent="0.25">
      <c r="I371" s="32"/>
    </row>
    <row r="372" spans="9:9" ht="21" customHeight="1" x14ac:dyDescent="0.25">
      <c r="I372" s="32"/>
    </row>
    <row r="373" spans="9:9" ht="21" customHeight="1" x14ac:dyDescent="0.25">
      <c r="I373" s="32"/>
    </row>
    <row r="374" spans="9:9" ht="21" customHeight="1" x14ac:dyDescent="0.25">
      <c r="I374" s="32"/>
    </row>
    <row r="375" spans="9:9" ht="21" customHeight="1" x14ac:dyDescent="0.25">
      <c r="I375" s="32"/>
    </row>
    <row r="376" spans="9:9" ht="21" customHeight="1" x14ac:dyDescent="0.25">
      <c r="I376" s="32"/>
    </row>
    <row r="377" spans="9:9" ht="21" customHeight="1" x14ac:dyDescent="0.25">
      <c r="I377" s="32"/>
    </row>
    <row r="378" spans="9:9" ht="21" customHeight="1" x14ac:dyDescent="0.25">
      <c r="I378" s="32"/>
    </row>
    <row r="379" spans="9:9" ht="21" customHeight="1" x14ac:dyDescent="0.25">
      <c r="I379" s="32"/>
    </row>
    <row r="380" spans="9:9" ht="21" customHeight="1" x14ac:dyDescent="0.25">
      <c r="I380" s="32"/>
    </row>
    <row r="381" spans="9:9" ht="21" customHeight="1" x14ac:dyDescent="0.25">
      <c r="I381" s="32"/>
    </row>
    <row r="382" spans="9:9" ht="21" customHeight="1" x14ac:dyDescent="0.25">
      <c r="I382" s="32"/>
    </row>
    <row r="383" spans="9:9" ht="21" customHeight="1" x14ac:dyDescent="0.25">
      <c r="I383" s="32"/>
    </row>
    <row r="384" spans="9:9" ht="21" customHeight="1" x14ac:dyDescent="0.25">
      <c r="I384" s="32"/>
    </row>
    <row r="385" spans="9:9" ht="21" customHeight="1" x14ac:dyDescent="0.25">
      <c r="I385" s="32"/>
    </row>
    <row r="386" spans="9:9" ht="21" customHeight="1" x14ac:dyDescent="0.25">
      <c r="I386" s="32"/>
    </row>
    <row r="387" spans="9:9" ht="21" customHeight="1" x14ac:dyDescent="0.25">
      <c r="I387" s="32"/>
    </row>
    <row r="388" spans="9:9" ht="21" customHeight="1" x14ac:dyDescent="0.25">
      <c r="I388" s="32"/>
    </row>
    <row r="389" spans="9:9" ht="21" customHeight="1" x14ac:dyDescent="0.25">
      <c r="I389" s="32"/>
    </row>
    <row r="390" spans="9:9" ht="21" customHeight="1" x14ac:dyDescent="0.25">
      <c r="I390" s="32"/>
    </row>
    <row r="391" spans="9:9" ht="21" customHeight="1" x14ac:dyDescent="0.25">
      <c r="I391" s="32"/>
    </row>
    <row r="392" spans="9:9" ht="21" customHeight="1" x14ac:dyDescent="0.25">
      <c r="I392" s="32"/>
    </row>
    <row r="393" spans="9:9" ht="21" customHeight="1" x14ac:dyDescent="0.25">
      <c r="I393" s="32"/>
    </row>
    <row r="394" spans="9:9" ht="21" customHeight="1" x14ac:dyDescent="0.25">
      <c r="I394" s="32"/>
    </row>
    <row r="395" spans="9:9" ht="21" customHeight="1" x14ac:dyDescent="0.25">
      <c r="I395" s="32"/>
    </row>
    <row r="396" spans="9:9" ht="21" customHeight="1" x14ac:dyDescent="0.25">
      <c r="I396" s="32"/>
    </row>
    <row r="397" spans="9:9" ht="21" customHeight="1" x14ac:dyDescent="0.25">
      <c r="I397" s="32"/>
    </row>
    <row r="398" spans="9:9" ht="21" customHeight="1" x14ac:dyDescent="0.25">
      <c r="I398" s="32"/>
    </row>
    <row r="399" spans="9:9" ht="21" customHeight="1" x14ac:dyDescent="0.25">
      <c r="I399" s="32"/>
    </row>
    <row r="400" spans="9:9" ht="21" customHeight="1" x14ac:dyDescent="0.25">
      <c r="I400" s="32"/>
    </row>
    <row r="401" spans="9:9" ht="21" customHeight="1" x14ac:dyDescent="0.25">
      <c r="I401" s="32"/>
    </row>
    <row r="402" spans="9:9" ht="21" customHeight="1" x14ac:dyDescent="0.25">
      <c r="I402" s="32"/>
    </row>
    <row r="403" spans="9:9" ht="21" customHeight="1" x14ac:dyDescent="0.25">
      <c r="I403" s="32"/>
    </row>
    <row r="404" spans="9:9" ht="21" customHeight="1" x14ac:dyDescent="0.25">
      <c r="I404" s="32"/>
    </row>
    <row r="405" spans="9:9" ht="21" customHeight="1" x14ac:dyDescent="0.25">
      <c r="I405" s="32"/>
    </row>
    <row r="406" spans="9:9" ht="21" customHeight="1" x14ac:dyDescent="0.25">
      <c r="I406" s="32"/>
    </row>
    <row r="407" spans="9:9" ht="21" customHeight="1" x14ac:dyDescent="0.25">
      <c r="I407" s="32"/>
    </row>
    <row r="408" spans="9:9" ht="21" customHeight="1" x14ac:dyDescent="0.25">
      <c r="I408" s="32"/>
    </row>
    <row r="409" spans="9:9" ht="21" customHeight="1" x14ac:dyDescent="0.25">
      <c r="I409" s="32"/>
    </row>
    <row r="410" spans="9:9" ht="21" customHeight="1" x14ac:dyDescent="0.25">
      <c r="I410" s="32"/>
    </row>
    <row r="411" spans="9:9" ht="21" customHeight="1" x14ac:dyDescent="0.25">
      <c r="I411" s="32"/>
    </row>
    <row r="412" spans="9:9" ht="21" customHeight="1" x14ac:dyDescent="0.25">
      <c r="I412" s="32"/>
    </row>
    <row r="413" spans="9:9" ht="21" customHeight="1" x14ac:dyDescent="0.25">
      <c r="I413" s="32"/>
    </row>
    <row r="414" spans="9:9" ht="21" customHeight="1" x14ac:dyDescent="0.25">
      <c r="I414" s="32"/>
    </row>
    <row r="415" spans="9:9" ht="21" customHeight="1" x14ac:dyDescent="0.25">
      <c r="I415" s="32"/>
    </row>
    <row r="416" spans="9:9" ht="21" customHeight="1" x14ac:dyDescent="0.25">
      <c r="I416" s="32"/>
    </row>
    <row r="417" spans="9:9" ht="21" customHeight="1" x14ac:dyDescent="0.25">
      <c r="I417" s="32"/>
    </row>
    <row r="418" spans="9:9" ht="21" customHeight="1" x14ac:dyDescent="0.25">
      <c r="I418" s="32"/>
    </row>
    <row r="419" spans="9:9" ht="21" customHeight="1" x14ac:dyDescent="0.25">
      <c r="I419" s="32"/>
    </row>
    <row r="420" spans="9:9" ht="21" customHeight="1" x14ac:dyDescent="0.25">
      <c r="I420" s="32"/>
    </row>
    <row r="421" spans="9:9" ht="21" customHeight="1" x14ac:dyDescent="0.25">
      <c r="I421" s="32"/>
    </row>
    <row r="422" spans="9:9" ht="21" customHeight="1" x14ac:dyDescent="0.25">
      <c r="I422" s="32"/>
    </row>
    <row r="423" spans="9:9" ht="21" customHeight="1" x14ac:dyDescent="0.25">
      <c r="I423" s="32"/>
    </row>
    <row r="424" spans="9:9" ht="21" customHeight="1" x14ac:dyDescent="0.25">
      <c r="I424" s="32"/>
    </row>
    <row r="425" spans="9:9" ht="21" customHeight="1" x14ac:dyDescent="0.25">
      <c r="I425" s="32"/>
    </row>
    <row r="426" spans="9:9" ht="21" customHeight="1" x14ac:dyDescent="0.25">
      <c r="I426" s="32"/>
    </row>
    <row r="427" spans="9:9" ht="21" customHeight="1" x14ac:dyDescent="0.25">
      <c r="I427" s="32"/>
    </row>
    <row r="428" spans="9:9" ht="21" customHeight="1" x14ac:dyDescent="0.25">
      <c r="I428" s="32"/>
    </row>
    <row r="429" spans="9:9" ht="21" customHeight="1" x14ac:dyDescent="0.25">
      <c r="I429" s="32"/>
    </row>
    <row r="430" spans="9:9" ht="21" customHeight="1" x14ac:dyDescent="0.25">
      <c r="I430" s="32"/>
    </row>
    <row r="431" spans="9:9" ht="21" customHeight="1" x14ac:dyDescent="0.25">
      <c r="I431" s="32"/>
    </row>
    <row r="432" spans="9:9" ht="21" customHeight="1" x14ac:dyDescent="0.25">
      <c r="I432" s="32"/>
    </row>
    <row r="433" spans="9:9" ht="21" customHeight="1" x14ac:dyDescent="0.25">
      <c r="I433" s="32"/>
    </row>
    <row r="434" spans="9:9" ht="21" customHeight="1" x14ac:dyDescent="0.25">
      <c r="I434" s="32"/>
    </row>
    <row r="435" spans="9:9" ht="21" customHeight="1" x14ac:dyDescent="0.25">
      <c r="I435" s="32"/>
    </row>
    <row r="436" spans="9:9" ht="21" customHeight="1" x14ac:dyDescent="0.25">
      <c r="I436" s="32"/>
    </row>
    <row r="437" spans="9:9" ht="21" customHeight="1" x14ac:dyDescent="0.25">
      <c r="I437" s="32"/>
    </row>
    <row r="438" spans="9:9" ht="21" customHeight="1" x14ac:dyDescent="0.25">
      <c r="I438" s="32"/>
    </row>
    <row r="439" spans="9:9" ht="21" customHeight="1" x14ac:dyDescent="0.25">
      <c r="I439" s="32"/>
    </row>
    <row r="440" spans="9:9" ht="21" customHeight="1" x14ac:dyDescent="0.25">
      <c r="I440" s="32"/>
    </row>
    <row r="441" spans="9:9" ht="21" customHeight="1" x14ac:dyDescent="0.25">
      <c r="I441" s="32"/>
    </row>
    <row r="442" spans="9:9" ht="21" customHeight="1" x14ac:dyDescent="0.25">
      <c r="I442" s="32"/>
    </row>
    <row r="443" spans="9:9" ht="21" customHeight="1" x14ac:dyDescent="0.25">
      <c r="I443" s="32"/>
    </row>
    <row r="444" spans="9:9" ht="21" customHeight="1" x14ac:dyDescent="0.25">
      <c r="I444" s="32"/>
    </row>
    <row r="445" spans="9:9" ht="21" customHeight="1" x14ac:dyDescent="0.25">
      <c r="I445" s="32"/>
    </row>
    <row r="446" spans="9:9" ht="21" customHeight="1" x14ac:dyDescent="0.25">
      <c r="I446" s="32"/>
    </row>
    <row r="447" spans="9:9" ht="21" customHeight="1" x14ac:dyDescent="0.25">
      <c r="I447" s="32"/>
    </row>
    <row r="448" spans="9:9" ht="21" customHeight="1" x14ac:dyDescent="0.25">
      <c r="I448" s="32"/>
    </row>
    <row r="449" spans="9:9" ht="21" customHeight="1" x14ac:dyDescent="0.25">
      <c r="I449" s="32"/>
    </row>
    <row r="450" spans="9:9" ht="21" customHeight="1" x14ac:dyDescent="0.25">
      <c r="I450" s="32"/>
    </row>
    <row r="451" spans="9:9" ht="21" customHeight="1" x14ac:dyDescent="0.25">
      <c r="I451" s="32"/>
    </row>
    <row r="452" spans="9:9" ht="21" customHeight="1" x14ac:dyDescent="0.25">
      <c r="I452" s="32"/>
    </row>
    <row r="453" spans="9:9" ht="21" customHeight="1" x14ac:dyDescent="0.25">
      <c r="I453" s="32"/>
    </row>
    <row r="454" spans="9:9" ht="21" customHeight="1" x14ac:dyDescent="0.25">
      <c r="I454" s="32"/>
    </row>
    <row r="455" spans="9:9" ht="21" customHeight="1" x14ac:dyDescent="0.25">
      <c r="I455" s="32"/>
    </row>
    <row r="456" spans="9:9" ht="21" customHeight="1" x14ac:dyDescent="0.25">
      <c r="I456" s="32"/>
    </row>
    <row r="457" spans="9:9" ht="21" customHeight="1" x14ac:dyDescent="0.25">
      <c r="I457" s="32"/>
    </row>
    <row r="458" spans="9:9" ht="21" customHeight="1" x14ac:dyDescent="0.25">
      <c r="I458" s="32"/>
    </row>
    <row r="459" spans="9:9" ht="21" customHeight="1" x14ac:dyDescent="0.25">
      <c r="I459" s="32"/>
    </row>
    <row r="460" spans="9:9" ht="21" customHeight="1" x14ac:dyDescent="0.25">
      <c r="I460" s="32"/>
    </row>
    <row r="461" spans="9:9" ht="21" customHeight="1" x14ac:dyDescent="0.25">
      <c r="I461" s="32"/>
    </row>
    <row r="462" spans="9:9" ht="21" customHeight="1" x14ac:dyDescent="0.25">
      <c r="I462" s="32"/>
    </row>
    <row r="463" spans="9:9" ht="21" customHeight="1" x14ac:dyDescent="0.25">
      <c r="I463" s="32"/>
    </row>
    <row r="464" spans="9:9" ht="21" customHeight="1" x14ac:dyDescent="0.25">
      <c r="I464" s="32"/>
    </row>
    <row r="465" spans="9:9" ht="21" customHeight="1" x14ac:dyDescent="0.25">
      <c r="I465" s="32"/>
    </row>
    <row r="466" spans="9:9" ht="21" customHeight="1" x14ac:dyDescent="0.25">
      <c r="I466" s="32"/>
    </row>
    <row r="467" spans="9:9" ht="21" customHeight="1" x14ac:dyDescent="0.25">
      <c r="I467" s="32"/>
    </row>
    <row r="468" spans="9:9" ht="21" customHeight="1" x14ac:dyDescent="0.25">
      <c r="I468" s="32"/>
    </row>
    <row r="469" spans="9:9" ht="21" customHeight="1" x14ac:dyDescent="0.25">
      <c r="I469" s="32"/>
    </row>
    <row r="470" spans="9:9" ht="21" customHeight="1" x14ac:dyDescent="0.25">
      <c r="I470" s="32"/>
    </row>
    <row r="471" spans="9:9" ht="21" customHeight="1" x14ac:dyDescent="0.25">
      <c r="I471" s="32"/>
    </row>
    <row r="472" spans="9:9" ht="21" customHeight="1" x14ac:dyDescent="0.25">
      <c r="I472" s="32"/>
    </row>
    <row r="473" spans="9:9" ht="21" customHeight="1" x14ac:dyDescent="0.25">
      <c r="I473" s="32"/>
    </row>
    <row r="474" spans="9:9" ht="21" customHeight="1" x14ac:dyDescent="0.25">
      <c r="I474" s="32"/>
    </row>
    <row r="475" spans="9:9" ht="21" customHeight="1" x14ac:dyDescent="0.25">
      <c r="I475" s="32"/>
    </row>
    <row r="476" spans="9:9" ht="21" customHeight="1" x14ac:dyDescent="0.25">
      <c r="I476" s="32"/>
    </row>
    <row r="477" spans="9:9" ht="21" customHeight="1" x14ac:dyDescent="0.25">
      <c r="I477" s="32"/>
    </row>
    <row r="478" spans="9:9" ht="21" customHeight="1" x14ac:dyDescent="0.25">
      <c r="I478" s="32"/>
    </row>
    <row r="479" spans="9:9" ht="21" customHeight="1" x14ac:dyDescent="0.25">
      <c r="I479" s="32"/>
    </row>
    <row r="480" spans="9:9" ht="21" customHeight="1" x14ac:dyDescent="0.25">
      <c r="I480" s="32"/>
    </row>
    <row r="481" spans="9:9" ht="21" customHeight="1" x14ac:dyDescent="0.25">
      <c r="I481" s="32"/>
    </row>
    <row r="482" spans="9:9" ht="21" customHeight="1" x14ac:dyDescent="0.25">
      <c r="I482" s="32"/>
    </row>
    <row r="483" spans="9:9" ht="21" customHeight="1" x14ac:dyDescent="0.25">
      <c r="I483" s="32"/>
    </row>
    <row r="484" spans="9:9" ht="21" customHeight="1" x14ac:dyDescent="0.25">
      <c r="I484" s="32"/>
    </row>
    <row r="485" spans="9:9" ht="21" customHeight="1" x14ac:dyDescent="0.25">
      <c r="I485" s="32"/>
    </row>
    <row r="486" spans="9:9" ht="21" customHeight="1" x14ac:dyDescent="0.25">
      <c r="I486" s="32"/>
    </row>
    <row r="487" spans="9:9" ht="21" customHeight="1" x14ac:dyDescent="0.25">
      <c r="I487" s="32"/>
    </row>
    <row r="488" spans="9:9" ht="21" customHeight="1" x14ac:dyDescent="0.25">
      <c r="I488" s="32"/>
    </row>
    <row r="489" spans="9:9" ht="21" customHeight="1" x14ac:dyDescent="0.25">
      <c r="I489" s="32"/>
    </row>
    <row r="490" spans="9:9" ht="21" customHeight="1" x14ac:dyDescent="0.25">
      <c r="I490" s="32"/>
    </row>
    <row r="491" spans="9:9" ht="21" customHeight="1" x14ac:dyDescent="0.25">
      <c r="I491" s="32"/>
    </row>
    <row r="492" spans="9:9" ht="21" customHeight="1" x14ac:dyDescent="0.25">
      <c r="I492" s="32"/>
    </row>
    <row r="493" spans="9:9" ht="21" customHeight="1" x14ac:dyDescent="0.25">
      <c r="I493" s="32"/>
    </row>
    <row r="494" spans="9:9" ht="21" customHeight="1" x14ac:dyDescent="0.25">
      <c r="I494" s="32"/>
    </row>
    <row r="495" spans="9:9" ht="21" customHeight="1" x14ac:dyDescent="0.25">
      <c r="I495" s="32"/>
    </row>
    <row r="496" spans="9:9" ht="21" customHeight="1" x14ac:dyDescent="0.25">
      <c r="I496" s="32"/>
    </row>
    <row r="497" spans="9:9" ht="21" customHeight="1" x14ac:dyDescent="0.25">
      <c r="I497" s="32"/>
    </row>
    <row r="498" spans="9:9" ht="21" customHeight="1" x14ac:dyDescent="0.25">
      <c r="I498" s="32"/>
    </row>
    <row r="499" spans="9:9" ht="21" customHeight="1" x14ac:dyDescent="0.25">
      <c r="I499" s="32"/>
    </row>
    <row r="500" spans="9:9" ht="21" customHeight="1" x14ac:dyDescent="0.25">
      <c r="I500" s="32"/>
    </row>
    <row r="501" spans="9:9" ht="21" customHeight="1" x14ac:dyDescent="0.25">
      <c r="I501" s="32"/>
    </row>
    <row r="502" spans="9:9" ht="21" customHeight="1" x14ac:dyDescent="0.25">
      <c r="I502" s="32"/>
    </row>
    <row r="503" spans="9:9" ht="21" customHeight="1" x14ac:dyDescent="0.25">
      <c r="I503" s="32"/>
    </row>
    <row r="504" spans="9:9" ht="21" customHeight="1" x14ac:dyDescent="0.25">
      <c r="I504" s="32"/>
    </row>
    <row r="505" spans="9:9" ht="21" customHeight="1" x14ac:dyDescent="0.25">
      <c r="I505" s="32"/>
    </row>
    <row r="506" spans="9:9" ht="21" customHeight="1" x14ac:dyDescent="0.25">
      <c r="I506" s="32"/>
    </row>
    <row r="507" spans="9:9" ht="21" customHeight="1" x14ac:dyDescent="0.25">
      <c r="I507" s="32"/>
    </row>
    <row r="508" spans="9:9" ht="21" customHeight="1" x14ac:dyDescent="0.25">
      <c r="I508" s="32"/>
    </row>
    <row r="509" spans="9:9" ht="21" customHeight="1" x14ac:dyDescent="0.25">
      <c r="I509" s="32"/>
    </row>
    <row r="510" spans="9:9" ht="21" customHeight="1" x14ac:dyDescent="0.25">
      <c r="I510" s="32"/>
    </row>
    <row r="511" spans="9:9" ht="21" customHeight="1" x14ac:dyDescent="0.25">
      <c r="I511" s="32"/>
    </row>
    <row r="512" spans="9:9" ht="21" customHeight="1" x14ac:dyDescent="0.25">
      <c r="I512" s="32"/>
    </row>
    <row r="513" spans="9:9" ht="21" customHeight="1" x14ac:dyDescent="0.25">
      <c r="I513" s="32"/>
    </row>
    <row r="514" spans="9:9" ht="21" customHeight="1" x14ac:dyDescent="0.25">
      <c r="I514" s="32"/>
    </row>
    <row r="515" spans="9:9" ht="21" customHeight="1" x14ac:dyDescent="0.25">
      <c r="I515" s="32"/>
    </row>
    <row r="516" spans="9:9" ht="21" customHeight="1" x14ac:dyDescent="0.25">
      <c r="I516" s="32"/>
    </row>
    <row r="517" spans="9:9" ht="21" customHeight="1" x14ac:dyDescent="0.25">
      <c r="I517" s="32"/>
    </row>
    <row r="518" spans="9:9" ht="21" customHeight="1" x14ac:dyDescent="0.25">
      <c r="I518" s="32"/>
    </row>
    <row r="519" spans="9:9" ht="21" customHeight="1" x14ac:dyDescent="0.25">
      <c r="I519" s="32"/>
    </row>
    <row r="520" spans="9:9" ht="21" customHeight="1" x14ac:dyDescent="0.25">
      <c r="I520" s="32"/>
    </row>
    <row r="521" spans="9:9" ht="21" customHeight="1" x14ac:dyDescent="0.25">
      <c r="I521" s="32"/>
    </row>
    <row r="522" spans="9:9" ht="21" customHeight="1" x14ac:dyDescent="0.25">
      <c r="I522" s="32"/>
    </row>
    <row r="523" spans="9:9" ht="21" customHeight="1" x14ac:dyDescent="0.25">
      <c r="I523" s="32"/>
    </row>
    <row r="524" spans="9:9" ht="21" customHeight="1" x14ac:dyDescent="0.25">
      <c r="I524" s="32"/>
    </row>
    <row r="525" spans="9:9" ht="21" customHeight="1" x14ac:dyDescent="0.25">
      <c r="I525" s="32"/>
    </row>
    <row r="526" spans="9:9" ht="21" customHeight="1" x14ac:dyDescent="0.25">
      <c r="I526" s="32"/>
    </row>
    <row r="527" spans="9:9" ht="21" customHeight="1" x14ac:dyDescent="0.25">
      <c r="I527" s="32"/>
    </row>
    <row r="528" spans="9:9" ht="21" customHeight="1" x14ac:dyDescent="0.25">
      <c r="I528" s="32"/>
    </row>
    <row r="529" spans="9:9" ht="21" customHeight="1" x14ac:dyDescent="0.25">
      <c r="I529" s="32"/>
    </row>
    <row r="530" spans="9:9" ht="21" customHeight="1" x14ac:dyDescent="0.25">
      <c r="I530" s="32"/>
    </row>
    <row r="531" spans="9:9" ht="21" customHeight="1" x14ac:dyDescent="0.25">
      <c r="I531" s="32"/>
    </row>
    <row r="532" spans="9:9" ht="21" customHeight="1" x14ac:dyDescent="0.25">
      <c r="I532" s="32"/>
    </row>
  </sheetData>
  <sheetProtection selectLockedCells="1" selectUnlockedCells="1"/>
  <mergeCells count="1">
    <mergeCell ref="B3:D3"/>
  </mergeCells>
  <dataValidations count="12">
    <dataValidation allowBlank="1" showInputMessage="1" showErrorMessage="1" prompt="Weighted forecast is automatically calculated in this column" sqref="M6" xr:uid="{E03E0973-76F2-4670-BED6-004E1EB3DB23}"/>
    <dataValidation allowBlank="1" showInputMessage="1" showErrorMessage="1" prompt="Enter Forecast close in this column under this heading" sqref="L6" xr:uid="{9B1DCBA6-19A0-4EB3-9331-E2A6D90A267B}"/>
    <dataValidation allowBlank="1" showInputMessage="1" showErrorMessage="1" prompt="Enter Probability of sale in this column under this heading" sqref="J6:K6" xr:uid="{84F385C9-780C-4522-ACC5-57893B661C45}"/>
    <dataValidation allowBlank="1" showInputMessage="1" showErrorMessage="1" prompt="Select the Sales phase from the dropdown list in each cell in this column. Options are defined in the Lists worksheet. Press ALT+DOWN ARROW to navigate the list, then ENTER to make a selection" sqref="I6" xr:uid="{BB37CB69-E125-4C10-9405-C71D74184B4D}"/>
    <dataValidation allowBlank="1" showInputMessage="1" showErrorMessage="1" prompt="Enter Forecast amount in this column under this heading" sqref="F6:G6" xr:uid="{E96D4039-4C60-42EC-B561-4DA7A1541C28}"/>
    <dataValidation allowBlank="1" showInputMessage="1" showErrorMessage="1" prompt="Select the Sales category from the dropdown list in each cell in this column. Options are defined in the Lists worksheet. Press ALT+DOWN ARROW to navigate the list, then ENTER to make a selection" sqref="E6:H6" xr:uid="{E86555B3-23C0-4407-89D3-0796D67EEB81}"/>
    <dataValidation allowBlank="1" showInputMessage="1" showErrorMessage="1" prompt="Select the Sales region from the dropdown list in each cell in this column. Options are defined in the Lists worksheet. Press ALT+DOWN ARROW to navigate the list, then ENTER to make a selection" sqref="D6" xr:uid="{47A9FD02-DD49-4035-96EC-7431DBF6C3E9}"/>
    <dataValidation allowBlank="1" showInputMessage="1" showErrorMessage="1" prompt="Select the Sales agent from the dropdown list in each cell in this column. Options are defined in the Lists worksheet. Press ALT+DOWN ARROW to navigate the list, then ENTER to make a selection" sqref="C6" xr:uid="{5DAF6090-1574-46A5-B1E2-826386DA8C4E}"/>
    <dataValidation allowBlank="1" showInputMessage="1" showErrorMessage="1" prompt="Enter Opportunity name in this column under this heading" sqref="B6" xr:uid="{B3C0CB92-A501-4D9F-B5F4-12678C1FFD96}"/>
    <dataValidation allowBlank="1" showInputMessage="1" showErrorMessage="1" prompt="Title of sheet is in this cell" sqref="B3" xr:uid="{8799DA83-B882-4372-A24F-D87ADE155DFE}"/>
    <dataValidation allowBlank="1" showInputMessage="1" showErrorMessage="1" prompt="Enter your Company Name in this cell" sqref="B2" xr:uid="{88E1D97A-6C89-4919-81D1-7F5B1B2C26F0}"/>
    <dataValidation allowBlank="1" showInputMessage="1" showErrorMessage="1" prompt="Enter your Company Name in cell B2._x000a__x000a_Clear the table below and enter your own Forecast Input data. To manage the available options for the dropdowns, go to Lists Tab." sqref="A1" xr:uid="{0315394C-F653-4F9E-B4C9-670C20C228C0}"/>
  </dataValidations>
  <printOptions horizontalCentered="1"/>
  <pageMargins left="0.25" right="0.25" top="0.75" bottom="0.75" header="0.3" footer="0.3"/>
  <pageSetup scale="62" fitToHeight="0" orientation="landscape" r:id="rId1"/>
  <ignoredErrors>
    <ignoredError sqref="C34" calculatedColumn="1"/>
  </ignoredErrors>
  <drawing r:id="rId2"/>
  <tableParts count="1">
    <tablePart r:id="rId3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810465-4916-4C7F-8B89-D811465BE1BA}">
  <sheetPr>
    <tabColor theme="3"/>
    <pageSetUpPr fitToPage="1"/>
  </sheetPr>
  <dimension ref="A1:N38"/>
  <sheetViews>
    <sheetView showGridLines="0" topLeftCell="D25" zoomScale="80" zoomScaleNormal="80" workbookViewId="0">
      <selection activeCell="E34" sqref="E34"/>
    </sheetView>
  </sheetViews>
  <sheetFormatPr defaultColWidth="9.85546875" defaultRowHeight="21" customHeight="1" x14ac:dyDescent="0.25"/>
  <cols>
    <col min="1" max="1" width="4.28515625" style="1" customWidth="1"/>
    <col min="2" max="2" width="38.5703125" style="32" bestFit="1" customWidth="1"/>
    <col min="3" max="3" width="62.42578125" style="32" bestFit="1" customWidth="1"/>
    <col min="4" max="4" width="43.5703125" style="32" bestFit="1" customWidth="1"/>
    <col min="5" max="5" width="68.5703125" style="32" bestFit="1" customWidth="1"/>
    <col min="6" max="6" width="33.85546875" style="32" bestFit="1" customWidth="1"/>
    <col min="7" max="7" width="74.5703125" style="32" bestFit="1" customWidth="1"/>
    <col min="8" max="8" width="26.42578125" style="32" bestFit="1" customWidth="1"/>
    <col min="9" max="9" width="47.140625" bestFit="1" customWidth="1"/>
    <col min="10" max="10" width="48" style="34" bestFit="1" customWidth="1"/>
    <col min="11" max="11" width="26" style="34" bestFit="1" customWidth="1"/>
    <col min="12" max="12" width="26" style="35" bestFit="1" customWidth="1"/>
    <col min="13" max="13" width="27" style="35" bestFit="1" customWidth="1"/>
    <col min="14" max="14" width="18.85546875" style="1" bestFit="1" customWidth="1"/>
    <col min="15" max="16384" width="9.85546875" style="4"/>
  </cols>
  <sheetData>
    <row r="1" spans="1:14" ht="20.100000000000001" customHeight="1" x14ac:dyDescent="0.25">
      <c r="B1" s="1"/>
      <c r="C1" s="2"/>
      <c r="D1" s="2"/>
      <c r="E1" s="2"/>
      <c r="F1" s="1"/>
      <c r="G1" s="1"/>
      <c r="H1" s="2"/>
      <c r="I1" s="1"/>
      <c r="J1" s="1"/>
      <c r="K1" s="3"/>
      <c r="L1" s="3"/>
      <c r="M1" s="1" t="s">
        <v>0</v>
      </c>
      <c r="N1" s="4"/>
    </row>
    <row r="2" spans="1:14" s="10" customFormat="1" ht="30" customHeight="1" x14ac:dyDescent="0.35">
      <c r="A2" s="5"/>
      <c r="B2" s="6" t="s">
        <v>1</v>
      </c>
      <c r="C2" s="7"/>
      <c r="D2" s="7"/>
      <c r="E2" s="7"/>
      <c r="F2" s="8"/>
      <c r="G2" s="8"/>
      <c r="H2" s="7"/>
      <c r="I2" s="8"/>
      <c r="J2" s="8"/>
      <c r="K2" s="9"/>
      <c r="L2" s="9"/>
      <c r="M2" s="5"/>
    </row>
    <row r="3" spans="1:14" s="15" customFormat="1" ht="80.099999999999994" customHeight="1" x14ac:dyDescent="1.05">
      <c r="A3" s="11"/>
      <c r="B3" s="38" t="s">
        <v>78</v>
      </c>
      <c r="C3" s="38"/>
      <c r="D3" s="38"/>
      <c r="E3" s="12"/>
      <c r="F3" s="13"/>
      <c r="G3" s="13"/>
      <c r="H3" s="12"/>
      <c r="I3" s="13"/>
      <c r="J3" s="13"/>
      <c r="K3" s="14"/>
      <c r="L3" s="14"/>
      <c r="M3" s="11"/>
    </row>
    <row r="4" spans="1:14" s="10" customFormat="1" ht="32.1" customHeight="1" x14ac:dyDescent="0.25">
      <c r="A4" s="5"/>
      <c r="B4" s="16" t="s">
        <v>3</v>
      </c>
      <c r="C4" s="7"/>
      <c r="D4" s="7"/>
      <c r="E4" s="7"/>
      <c r="F4" s="8"/>
      <c r="G4" s="8"/>
      <c r="H4" s="7"/>
      <c r="I4" s="8"/>
      <c r="J4" s="8"/>
      <c r="K4" s="9"/>
      <c r="L4" s="9"/>
      <c r="M4" s="5"/>
    </row>
    <row r="5" spans="1:14" ht="24" customHeight="1" x14ac:dyDescent="0.25">
      <c r="B5" s="17"/>
      <c r="C5" s="18"/>
      <c r="D5" s="18"/>
      <c r="E5" s="18"/>
      <c r="F5" s="19"/>
      <c r="G5" s="19"/>
      <c r="H5" s="18"/>
      <c r="I5" s="19"/>
      <c r="J5" s="19"/>
      <c r="K5" s="20"/>
      <c r="L5" s="21"/>
      <c r="M5" s="1"/>
      <c r="N5" s="4"/>
    </row>
    <row r="6" spans="1:14" s="26" customFormat="1" ht="60" customHeight="1" x14ac:dyDescent="0.3">
      <c r="A6" s="22"/>
      <c r="B6" s="23" t="s">
        <v>4</v>
      </c>
      <c r="C6" s="23" t="s">
        <v>5</v>
      </c>
      <c r="D6" s="23" t="s">
        <v>6</v>
      </c>
      <c r="E6" s="23" t="s">
        <v>7</v>
      </c>
      <c r="F6" s="23" t="s">
        <v>9</v>
      </c>
      <c r="G6" s="23" t="s">
        <v>440</v>
      </c>
      <c r="H6" s="23" t="s">
        <v>8</v>
      </c>
      <c r="I6" s="23" t="s">
        <v>10</v>
      </c>
      <c r="J6" s="24" t="s">
        <v>11</v>
      </c>
      <c r="K6" s="24" t="s">
        <v>12</v>
      </c>
      <c r="L6" s="25" t="s">
        <v>13</v>
      </c>
      <c r="M6" s="25" t="s">
        <v>14</v>
      </c>
      <c r="N6" s="22"/>
    </row>
    <row r="7" spans="1:14" ht="24" customHeight="1" x14ac:dyDescent="0.25">
      <c r="B7" s="27" t="s">
        <v>385</v>
      </c>
      <c r="C7" s="27" t="s">
        <v>389</v>
      </c>
      <c r="D7" s="27" t="s">
        <v>21</v>
      </c>
      <c r="E7" s="27" t="s">
        <v>386</v>
      </c>
      <c r="F7" s="28">
        <v>30000</v>
      </c>
      <c r="G7" s="28" t="s">
        <v>660</v>
      </c>
      <c r="H7" t="s">
        <v>383</v>
      </c>
      <c r="I7" s="27" t="s">
        <v>384</v>
      </c>
      <c r="J7" s="30" t="s">
        <v>387</v>
      </c>
      <c r="K7" s="31" t="s">
        <v>16</v>
      </c>
      <c r="L7" s="31" t="s">
        <v>388</v>
      </c>
      <c r="M7" s="31" t="s">
        <v>17</v>
      </c>
    </row>
    <row r="8" spans="1:14" ht="24" customHeight="1" x14ac:dyDescent="0.25">
      <c r="B8" s="27" t="s">
        <v>79</v>
      </c>
      <c r="C8" s="27" t="s">
        <v>80</v>
      </c>
      <c r="D8" s="27" t="s">
        <v>81</v>
      </c>
      <c r="E8" s="27" t="s">
        <v>82</v>
      </c>
      <c r="F8" s="28">
        <v>35000</v>
      </c>
      <c r="G8" s="28" t="s">
        <v>660</v>
      </c>
      <c r="H8" s="27"/>
      <c r="I8" s="29"/>
      <c r="J8" s="30" t="s">
        <v>83</v>
      </c>
      <c r="K8" s="31" t="s">
        <v>16</v>
      </c>
      <c r="L8" s="31"/>
      <c r="M8" s="31" t="s">
        <v>84</v>
      </c>
    </row>
    <row r="9" spans="1:14" ht="24" customHeight="1" x14ac:dyDescent="0.25">
      <c r="B9" s="27" t="s">
        <v>85</v>
      </c>
      <c r="C9" s="27" t="s">
        <v>86</v>
      </c>
      <c r="D9" s="27" t="s">
        <v>87</v>
      </c>
      <c r="E9" s="27" t="s">
        <v>88</v>
      </c>
      <c r="F9" s="28">
        <v>20000</v>
      </c>
      <c r="G9" s="28" t="s">
        <v>660</v>
      </c>
      <c r="H9" s="31"/>
      <c r="I9" s="27"/>
      <c r="J9" s="30"/>
      <c r="K9" s="31" t="s">
        <v>29</v>
      </c>
      <c r="L9" s="31"/>
      <c r="M9" s="31" t="s">
        <v>17</v>
      </c>
    </row>
    <row r="10" spans="1:14" ht="24" customHeight="1" x14ac:dyDescent="0.25">
      <c r="B10" s="27" t="s">
        <v>89</v>
      </c>
      <c r="C10" s="27" t="s">
        <v>90</v>
      </c>
      <c r="D10" s="27" t="s">
        <v>91</v>
      </c>
      <c r="E10" s="27" t="s">
        <v>461</v>
      </c>
      <c r="F10" s="28">
        <v>50000</v>
      </c>
      <c r="G10" s="28" t="s">
        <v>660</v>
      </c>
      <c r="H10" s="27"/>
      <c r="I10" s="27"/>
      <c r="J10" s="30"/>
      <c r="K10" s="31" t="s">
        <v>16</v>
      </c>
      <c r="L10" s="31"/>
      <c r="M10" s="31" t="s">
        <v>92</v>
      </c>
    </row>
    <row r="11" spans="1:14" ht="24" customHeight="1" x14ac:dyDescent="0.25">
      <c r="B11" s="27" t="s">
        <v>93</v>
      </c>
      <c r="C11" s="27" t="s">
        <v>94</v>
      </c>
      <c r="D11" s="27" t="s">
        <v>95</v>
      </c>
      <c r="E11" s="27" t="s">
        <v>462</v>
      </c>
      <c r="F11" s="28">
        <v>55000</v>
      </c>
      <c r="G11" s="28" t="s">
        <v>660</v>
      </c>
      <c r="H11"/>
      <c r="I11" s="27"/>
      <c r="J11" s="30"/>
      <c r="K11" s="31" t="s">
        <v>16</v>
      </c>
      <c r="L11" s="31"/>
      <c r="M11" s="31" t="s">
        <v>96</v>
      </c>
    </row>
    <row r="12" spans="1:14" ht="24" customHeight="1" x14ac:dyDescent="0.25">
      <c r="B12" s="27" t="s">
        <v>97</v>
      </c>
      <c r="C12" s="27" t="s">
        <v>98</v>
      </c>
      <c r="D12" s="27" t="s">
        <v>99</v>
      </c>
      <c r="E12" s="27" t="s">
        <v>463</v>
      </c>
      <c r="F12" s="28">
        <v>30000</v>
      </c>
      <c r="G12" s="28" t="s">
        <v>660</v>
      </c>
      <c r="H12"/>
      <c r="I12" s="27"/>
      <c r="J12" s="30"/>
      <c r="K12" s="31" t="s">
        <v>16</v>
      </c>
      <c r="L12" s="31"/>
      <c r="M12" s="31" t="s">
        <v>100</v>
      </c>
    </row>
    <row r="13" spans="1:14" ht="24" customHeight="1" x14ac:dyDescent="0.25">
      <c r="B13" s="27" t="s">
        <v>101</v>
      </c>
      <c r="C13" s="27" t="s">
        <v>102</v>
      </c>
      <c r="D13" s="27" t="s">
        <v>103</v>
      </c>
      <c r="E13" s="27" t="s">
        <v>464</v>
      </c>
      <c r="F13" s="28">
        <v>12000</v>
      </c>
      <c r="G13" s="28" t="s">
        <v>660</v>
      </c>
      <c r="H13"/>
      <c r="I13" s="27"/>
      <c r="J13" s="30"/>
      <c r="K13" s="31" t="s">
        <v>33</v>
      </c>
      <c r="L13" s="31"/>
      <c r="M13" s="31" t="s">
        <v>17</v>
      </c>
    </row>
    <row r="14" spans="1:14" ht="24" customHeight="1" x14ac:dyDescent="0.25">
      <c r="B14" s="27" t="s">
        <v>104</v>
      </c>
      <c r="C14" s="27" t="s">
        <v>105</v>
      </c>
      <c r="D14" s="27" t="s">
        <v>106</v>
      </c>
      <c r="E14" s="27" t="s">
        <v>465</v>
      </c>
      <c r="F14" s="28">
        <v>30000</v>
      </c>
      <c r="G14" s="28" t="s">
        <v>660</v>
      </c>
      <c r="H14"/>
      <c r="I14" s="27"/>
      <c r="J14" s="30"/>
      <c r="K14" s="31" t="s">
        <v>16</v>
      </c>
      <c r="L14" s="31"/>
      <c r="M14" s="31" t="s">
        <v>17</v>
      </c>
    </row>
    <row r="15" spans="1:14" ht="24" customHeight="1" x14ac:dyDescent="0.25">
      <c r="B15" s="27" t="s">
        <v>107</v>
      </c>
      <c r="C15" s="27" t="s">
        <v>441</v>
      </c>
      <c r="D15" s="27" t="s">
        <v>108</v>
      </c>
      <c r="E15" s="27" t="s">
        <v>474</v>
      </c>
      <c r="F15" s="28">
        <v>80000</v>
      </c>
      <c r="G15" s="28" t="str">
        <f>VLOOKUP(Table_ForecastInput24567[[#This Row],[Venue Name]],'[2]Venue Data'!$A:$F,6,)</f>
        <v>X posts (e.g. @lagosonabudget May 2026); public mentions</v>
      </c>
      <c r="H15" s="27"/>
      <c r="I15" s="27" t="s">
        <v>466</v>
      </c>
      <c r="J15" s="30"/>
      <c r="K15" s="31" t="s">
        <v>109</v>
      </c>
      <c r="L15" s="31" t="s">
        <v>110</v>
      </c>
      <c r="M15" s="31" t="s">
        <v>17</v>
      </c>
    </row>
    <row r="16" spans="1:14" ht="24" customHeight="1" x14ac:dyDescent="0.25">
      <c r="B16" s="27" t="s">
        <v>111</v>
      </c>
      <c r="C16" s="27" t="s">
        <v>442</v>
      </c>
      <c r="D16" s="27" t="s">
        <v>57</v>
      </c>
      <c r="E16" s="27" t="s">
        <v>475</v>
      </c>
      <c r="F16" s="28">
        <v>25000</v>
      </c>
      <c r="G16" s="28" t="str">
        <f>VLOOKUP(Table_ForecastInput24567[[#This Row],[Venue Name]],'[2]Venue Data'!$A:$F,6,)</f>
        <v>X posts mentioning Danfo Bistro Ikoyi; limited detailed public listings</v>
      </c>
      <c r="H16" s="27"/>
      <c r="I16" s="27"/>
      <c r="J16" s="30"/>
      <c r="K16" s="31" t="s">
        <v>16</v>
      </c>
      <c r="L16" s="31"/>
      <c r="M16" s="31" t="s">
        <v>17</v>
      </c>
    </row>
    <row r="17" spans="2:13" ht="24" customHeight="1" x14ac:dyDescent="0.25">
      <c r="B17" s="27" t="s">
        <v>112</v>
      </c>
      <c r="C17" s="27" t="s">
        <v>443</v>
      </c>
      <c r="D17" s="27" t="s">
        <v>113</v>
      </c>
      <c r="E17" s="27" t="s">
        <v>476</v>
      </c>
      <c r="F17" s="28">
        <v>35000</v>
      </c>
      <c r="G17" s="28" t="str">
        <f>VLOOKUP(Table_ForecastInput24567[[#This Row],[Venue Name]],'[2]Venue Data'!$A:$F,6,)</f>
        <v>TripAdvisor, Facebook, Bellanic Concepts site</v>
      </c>
      <c r="H17" s="27"/>
      <c r="I17" s="27"/>
      <c r="J17" s="30"/>
      <c r="K17" s="31" t="s">
        <v>16</v>
      </c>
      <c r="L17" s="31"/>
      <c r="M17" s="31" t="s">
        <v>17</v>
      </c>
    </row>
    <row r="18" spans="2:13" ht="24" customHeight="1" x14ac:dyDescent="0.25">
      <c r="B18" s="27" t="s">
        <v>114</v>
      </c>
      <c r="C18" s="27" t="s">
        <v>444</v>
      </c>
      <c r="D18" s="27" t="s">
        <v>21</v>
      </c>
      <c r="E18" s="27" t="s">
        <v>477</v>
      </c>
      <c r="F18" s="28">
        <v>30000</v>
      </c>
      <c r="G18" s="28" t="str">
        <f>VLOOKUP(Table_ForecastInput24567[[#This Row],[Venue Name]],'[2]Venue Data'!$A:$F,6,)</f>
        <v>X posts (location &amp; brunch mentions)</v>
      </c>
      <c r="H18" s="27"/>
      <c r="I18" s="27"/>
      <c r="J18" s="30"/>
      <c r="K18" s="31" t="s">
        <v>16</v>
      </c>
      <c r="L18" s="31"/>
      <c r="M18" s="31" t="s">
        <v>17</v>
      </c>
    </row>
    <row r="19" spans="2:13" ht="24" customHeight="1" x14ac:dyDescent="0.25">
      <c r="B19" s="27" t="s">
        <v>115</v>
      </c>
      <c r="C19" s="27" t="s">
        <v>445</v>
      </c>
      <c r="D19" s="27" t="s">
        <v>34</v>
      </c>
      <c r="E19" s="27" t="s">
        <v>478</v>
      </c>
      <c r="F19" s="28">
        <v>30000</v>
      </c>
      <c r="G19" s="28" t="str">
        <f>VLOOKUP(Table_ForecastInput24567[[#This Row],[Venue Name]],'[2]Venue Data'!$A:$F,6,)</f>
        <v>X posts (address &amp; food mentions)</v>
      </c>
      <c r="H19" s="27"/>
      <c r="I19" s="27"/>
      <c r="J19" s="30"/>
      <c r="K19" s="31" t="s">
        <v>18</v>
      </c>
      <c r="L19" s="31"/>
      <c r="M19" s="31" t="s">
        <v>17</v>
      </c>
    </row>
    <row r="20" spans="2:13" ht="24" customHeight="1" x14ac:dyDescent="0.25">
      <c r="B20" s="27" t="s">
        <v>116</v>
      </c>
      <c r="C20" s="27" t="s">
        <v>446</v>
      </c>
      <c r="D20" s="27" t="s">
        <v>117</v>
      </c>
      <c r="E20" s="27" t="s">
        <v>479</v>
      </c>
      <c r="F20" s="28">
        <v>22000</v>
      </c>
      <c r="G20" s="28" t="str">
        <f>VLOOKUP(Table_ForecastInput24567[[#This Row],[Venue Name]],'[2]Venue Data'!$A:$F,6,)</f>
        <v>X posts listing locations including Awolowo Rd Ikoyi</v>
      </c>
      <c r="H20" s="27"/>
      <c r="I20" s="27"/>
      <c r="J20" s="30"/>
      <c r="K20" s="31" t="s">
        <v>33</v>
      </c>
      <c r="L20" s="31"/>
      <c r="M20" s="31" t="s">
        <v>17</v>
      </c>
    </row>
    <row r="21" spans="2:13" ht="24" customHeight="1" x14ac:dyDescent="0.25">
      <c r="B21" s="27" t="s">
        <v>118</v>
      </c>
      <c r="C21" s="27" t="s">
        <v>447</v>
      </c>
      <c r="D21" s="27" t="s">
        <v>119</v>
      </c>
      <c r="E21" s="27" t="s">
        <v>480</v>
      </c>
      <c r="F21" s="28">
        <v>10000</v>
      </c>
      <c r="G21" s="28" t="str">
        <f>VLOOKUP(Table_ForecastInput24567[[#This Row],[Venue Name]],'[2]Venue Data'!$A:$F,6,)</f>
        <v>Official @hansandrene X account (Glover Ikoyi outlet)</v>
      </c>
      <c r="H21" s="27"/>
      <c r="I21" s="27"/>
      <c r="J21" s="30"/>
      <c r="K21" s="31" t="s">
        <v>31</v>
      </c>
      <c r="L21" s="31"/>
      <c r="M21" s="31" t="s">
        <v>17</v>
      </c>
    </row>
    <row r="22" spans="2:13" ht="24" customHeight="1" x14ac:dyDescent="0.25">
      <c r="B22" s="27" t="s">
        <v>120</v>
      </c>
      <c r="C22" s="27" t="s">
        <v>448</v>
      </c>
      <c r="D22" s="27" t="s">
        <v>121</v>
      </c>
      <c r="E22" s="27" t="s">
        <v>481</v>
      </c>
      <c r="F22" s="28">
        <v>12000</v>
      </c>
      <c r="G22" s="28" t="str">
        <f>VLOOKUP(Table_ForecastInput24567[[#This Row],[Venue Name]],'[2]Venue Data'!$A:$F,6,)</f>
        <v>Public listings &amp; ofadaa.com style directories; Instagram presence</v>
      </c>
      <c r="H22" s="27"/>
      <c r="I22" s="27"/>
      <c r="J22" s="30"/>
      <c r="K22" s="31" t="s">
        <v>33</v>
      </c>
      <c r="L22" s="31"/>
      <c r="M22" s="31" t="s">
        <v>17</v>
      </c>
    </row>
    <row r="23" spans="2:13" ht="24" customHeight="1" x14ac:dyDescent="0.25">
      <c r="B23" s="27" t="s">
        <v>122</v>
      </c>
      <c r="C23" s="27" t="s">
        <v>449</v>
      </c>
      <c r="D23" s="27" t="s">
        <v>123</v>
      </c>
      <c r="E23" s="27" t="s">
        <v>482</v>
      </c>
      <c r="F23" s="28">
        <v>25000</v>
      </c>
      <c r="G23" s="28" t="str">
        <f>VLOOKUP(Table_ForecastInput24567[[#This Row],[Venue Name]],'[2]Venue Data'!$A:$F,6,)</f>
        <v>Official Maison Kayser site, Waze, TripAdvisor</v>
      </c>
      <c r="H23" s="27"/>
      <c r="I23" s="27"/>
      <c r="J23" s="30"/>
      <c r="K23" s="31" t="s">
        <v>33</v>
      </c>
      <c r="L23" s="31"/>
      <c r="M23" s="31" t="s">
        <v>17</v>
      </c>
    </row>
    <row r="24" spans="2:13" ht="24" customHeight="1" x14ac:dyDescent="0.25">
      <c r="B24" s="27" t="s">
        <v>124</v>
      </c>
      <c r="C24" s="27" t="s">
        <v>450</v>
      </c>
      <c r="D24" s="27" t="s">
        <v>125</v>
      </c>
      <c r="E24" s="27" t="s">
        <v>483</v>
      </c>
      <c r="F24" s="28">
        <v>30000</v>
      </c>
      <c r="G24" s="28" t="str">
        <f>VLOOKUP(Table_ForecastInput24567[[#This Row],[Venue Name]],'[2]Venue Data'!$A:$F,6,)</f>
        <v>X posts (Glover Rd mentions, job posts for Casa Lydia Bistro)</v>
      </c>
      <c r="H24" s="27"/>
      <c r="I24" s="27"/>
      <c r="J24" s="30"/>
      <c r="K24" s="31" t="s">
        <v>16</v>
      </c>
      <c r="L24" s="31"/>
      <c r="M24" s="31" t="s">
        <v>124</v>
      </c>
    </row>
    <row r="25" spans="2:13" ht="24" customHeight="1" x14ac:dyDescent="0.25">
      <c r="B25" s="27" t="s">
        <v>126</v>
      </c>
      <c r="C25" s="27" t="s">
        <v>451</v>
      </c>
      <c r="D25" s="27" t="s">
        <v>127</v>
      </c>
      <c r="E25" s="27" t="s">
        <v>484</v>
      </c>
      <c r="F25" s="28">
        <v>15000</v>
      </c>
      <c r="G25" s="28" t="str">
        <f>VLOOKUP(Table_ForecastInput24567[[#This Row],[Venue Name]],'[2]Venue Data'!$A:$F,6,)</f>
        <v>Area cluster – local knowledge / Google-style listings</v>
      </c>
      <c r="H25" s="27"/>
      <c r="I25" s="27"/>
      <c r="J25" s="30"/>
      <c r="K25" s="31" t="s">
        <v>45</v>
      </c>
      <c r="L25" s="31"/>
      <c r="M25" s="31" t="s">
        <v>17</v>
      </c>
    </row>
    <row r="26" spans="2:13" ht="24" customHeight="1" x14ac:dyDescent="0.25">
      <c r="B26" s="27" t="s">
        <v>128</v>
      </c>
      <c r="C26" s="27" t="s">
        <v>451</v>
      </c>
      <c r="D26" s="27" t="s">
        <v>129</v>
      </c>
      <c r="E26" s="27" t="s">
        <v>88</v>
      </c>
      <c r="F26" s="28">
        <v>10000</v>
      </c>
      <c r="G26" s="28" t="str">
        <f>VLOOKUP(Table_ForecastInput24567[[#This Row],[Venue Name]],'[2]Venue Data'!$A:$F,6,)</f>
        <v>Area cluster – local knowledge</v>
      </c>
      <c r="H26" s="27"/>
      <c r="I26" s="27"/>
      <c r="J26" s="30"/>
      <c r="K26" s="31" t="s">
        <v>45</v>
      </c>
      <c r="L26" s="31" t="s">
        <v>17</v>
      </c>
      <c r="M26" s="31" t="s">
        <v>17</v>
      </c>
    </row>
    <row r="27" spans="2:13" ht="24" customHeight="1" x14ac:dyDescent="0.25">
      <c r="B27" s="27" t="s">
        <v>130</v>
      </c>
      <c r="C27" s="27" t="s">
        <v>452</v>
      </c>
      <c r="D27" s="27" t="s">
        <v>131</v>
      </c>
      <c r="E27" s="27" t="s">
        <v>485</v>
      </c>
      <c r="F27" s="28">
        <v>20000</v>
      </c>
      <c r="G27" s="28" t="str">
        <f>VLOOKUP(Table_ForecastInput24567[[#This Row],[Venue Name]],'[2]Venue Data'!$A:$F,6,)</f>
        <v>Road cluster – public listings</v>
      </c>
      <c r="H27" s="27"/>
      <c r="I27" s="27"/>
      <c r="J27" s="30"/>
      <c r="K27" s="31" t="s">
        <v>45</v>
      </c>
      <c r="L27" s="31"/>
      <c r="M27" s="31" t="s">
        <v>17</v>
      </c>
    </row>
    <row r="28" spans="2:13" ht="24" customHeight="1" x14ac:dyDescent="0.25">
      <c r="B28" s="27" t="s">
        <v>132</v>
      </c>
      <c r="C28" s="27" t="s">
        <v>453</v>
      </c>
      <c r="D28" s="27" t="s">
        <v>133</v>
      </c>
      <c r="E28" s="27" t="s">
        <v>486</v>
      </c>
      <c r="F28" s="28">
        <v>18000</v>
      </c>
      <c r="G28" s="28" t="str">
        <f>VLOOKUP(Table_ForecastInput24567[[#This Row],[Venue Name]],'[2]Venue Data'!$A:$F,6,)</f>
        <v>Road cluster</v>
      </c>
      <c r="H28" s="27"/>
      <c r="I28" s="27"/>
      <c r="J28" s="30"/>
      <c r="K28" s="31" t="s">
        <v>45</v>
      </c>
      <c r="L28" s="31"/>
      <c r="M28" s="31" t="s">
        <v>17</v>
      </c>
    </row>
    <row r="29" spans="2:13" ht="24" customHeight="1" x14ac:dyDescent="0.25">
      <c r="B29" s="27" t="s">
        <v>134</v>
      </c>
      <c r="C29" s="27" t="s">
        <v>454</v>
      </c>
      <c r="D29" s="27" t="s">
        <v>135</v>
      </c>
      <c r="E29" s="27" t="s">
        <v>487</v>
      </c>
      <c r="F29" s="28">
        <v>20000</v>
      </c>
      <c r="G29" s="28" t="str">
        <f>VLOOKUP(Table_ForecastInput24567[[#This Row],[Venue Name]],'[2]Venue Data'!$A:$F,6,)</f>
        <v>Road cluster</v>
      </c>
      <c r="H29" s="27"/>
      <c r="I29" s="27"/>
      <c r="J29" s="30"/>
      <c r="K29" s="31" t="s">
        <v>45</v>
      </c>
      <c r="L29" s="31"/>
      <c r="M29" s="31" t="s">
        <v>17</v>
      </c>
    </row>
    <row r="30" spans="2:13" ht="24" customHeight="1" x14ac:dyDescent="0.25">
      <c r="B30" s="27" t="s">
        <v>136</v>
      </c>
      <c r="C30" s="27" t="s">
        <v>455</v>
      </c>
      <c r="D30" s="27" t="s">
        <v>137</v>
      </c>
      <c r="E30" s="27" t="s">
        <v>488</v>
      </c>
      <c r="F30" s="28">
        <v>30000</v>
      </c>
      <c r="G30" s="28" t="str">
        <f>VLOOKUP(Table_ForecastInput24567[[#This Row],[Venue Name]],'[2]Venue Data'!$A:$F,6,)</f>
        <v>Road cluster</v>
      </c>
      <c r="H30" s="27"/>
      <c r="I30" s="27"/>
      <c r="J30" s="30"/>
      <c r="K30" s="31" t="s">
        <v>45</v>
      </c>
      <c r="L30" s="31"/>
      <c r="M30" s="31" t="s">
        <v>17</v>
      </c>
    </row>
    <row r="31" spans="2:13" ht="24" customHeight="1" x14ac:dyDescent="0.25">
      <c r="B31" s="27" t="s">
        <v>138</v>
      </c>
      <c r="C31" s="27" t="s">
        <v>456</v>
      </c>
      <c r="D31" s="27" t="s">
        <v>139</v>
      </c>
      <c r="E31" s="27" t="s">
        <v>489</v>
      </c>
      <c r="F31" s="28">
        <v>12000</v>
      </c>
      <c r="G31" s="28" t="str">
        <f>VLOOKUP(Table_ForecastInput24567[[#This Row],[Venue Name]],'[2]Venue Data'!$A:$F,6,)</f>
        <v>Plaza cluster</v>
      </c>
      <c r="H31" s="27"/>
      <c r="I31" s="27"/>
      <c r="J31" s="30"/>
      <c r="K31" s="31" t="s">
        <v>45</v>
      </c>
      <c r="L31" s="31"/>
      <c r="M31" s="31" t="s">
        <v>17</v>
      </c>
    </row>
    <row r="32" spans="2:13" ht="24" customHeight="1" x14ac:dyDescent="0.25">
      <c r="B32" s="27" t="s">
        <v>140</v>
      </c>
      <c r="C32" s="27" t="s">
        <v>457</v>
      </c>
      <c r="D32" s="27" t="s">
        <v>141</v>
      </c>
      <c r="E32" s="27" t="s">
        <v>490</v>
      </c>
      <c r="F32" s="28">
        <v>12000</v>
      </c>
      <c r="G32" s="28" t="str">
        <f>VLOOKUP(Table_ForecastInput24567[[#This Row],[Venue Name]],'[2]Venue Data'!$A:$F,6,)</f>
        <v>Shopping centre cluster</v>
      </c>
      <c r="H32" s="27"/>
      <c r="I32" s="27"/>
      <c r="J32" s="30"/>
      <c r="K32" s="31" t="s">
        <v>45</v>
      </c>
      <c r="L32" s="31"/>
      <c r="M32" s="31" t="s">
        <v>17</v>
      </c>
    </row>
    <row r="33" spans="2:13" ht="24" customHeight="1" x14ac:dyDescent="0.25">
      <c r="B33" s="27" t="s">
        <v>142</v>
      </c>
      <c r="C33" s="27" t="s">
        <v>458</v>
      </c>
      <c r="D33" s="27" t="s">
        <v>71</v>
      </c>
      <c r="E33" s="27" t="s">
        <v>491</v>
      </c>
      <c r="F33" s="28">
        <v>7000</v>
      </c>
      <c r="G33" s="28" t="str">
        <f>VLOOKUP(Table_ForecastInput24567[[#This Row],[Venue Name]],'[2]Venue Data'!$A:$F,6,)</f>
        <v>Suya cluster</v>
      </c>
      <c r="H33" s="27"/>
      <c r="I33" s="27" t="s">
        <v>467</v>
      </c>
      <c r="J33" s="30"/>
      <c r="K33" s="31" t="s">
        <v>33</v>
      </c>
      <c r="L33" s="31" t="s">
        <v>17</v>
      </c>
      <c r="M33" s="31" t="s">
        <v>17</v>
      </c>
    </row>
    <row r="34" spans="2:13" ht="24" customHeight="1" x14ac:dyDescent="0.25">
      <c r="B34" s="27" t="s">
        <v>143</v>
      </c>
      <c r="C34" s="27" t="s">
        <v>459</v>
      </c>
      <c r="D34" s="27" t="s">
        <v>71</v>
      </c>
      <c r="E34" s="27" t="s">
        <v>488</v>
      </c>
      <c r="F34" s="28">
        <v>8000</v>
      </c>
      <c r="G34" s="28" t="str">
        <f>VLOOKUP(Table_ForecastInput24567[[#This Row],[Venue Name]],'[2]Venue Data'!$A:$F,6,)</f>
        <v>Suya/grill cluster</v>
      </c>
      <c r="H34" s="27"/>
      <c r="I34" s="27" t="s">
        <v>467</v>
      </c>
      <c r="J34" s="30"/>
      <c r="K34" s="31" t="s">
        <v>33</v>
      </c>
      <c r="L34" s="31" t="s">
        <v>17</v>
      </c>
      <c r="M34" s="31" t="s">
        <v>17</v>
      </c>
    </row>
    <row r="35" spans="2:13" ht="24" customHeight="1" x14ac:dyDescent="0.25">
      <c r="B35" s="27" t="s">
        <v>144</v>
      </c>
      <c r="C35" s="27" t="s">
        <v>460</v>
      </c>
      <c r="D35" s="27" t="s">
        <v>145</v>
      </c>
      <c r="E35" s="27" t="s">
        <v>492</v>
      </c>
      <c r="F35" s="28">
        <v>20000</v>
      </c>
      <c r="G35" s="28" t="str">
        <f>VLOOKUP(Table_ForecastInput24567[[#This Row],[Venue Name]],'[2]Venue Data'!$A:$F,6,)</f>
        <v>Waterfront cluster</v>
      </c>
      <c r="H35" s="27"/>
      <c r="I35" s="27"/>
      <c r="J35" s="30"/>
      <c r="K35" s="31" t="s">
        <v>45</v>
      </c>
      <c r="L35" s="31"/>
      <c r="M35" s="31" t="s">
        <v>17</v>
      </c>
    </row>
    <row r="36" spans="2:13" ht="24" customHeight="1" x14ac:dyDescent="0.25">
      <c r="B36" s="27"/>
      <c r="C36" s="27"/>
      <c r="D36" s="27"/>
      <c r="E36" s="27"/>
      <c r="F36" s="28"/>
      <c r="G36" s="28"/>
      <c r="H36" s="27"/>
      <c r="I36" s="27"/>
      <c r="J36" s="30"/>
      <c r="K36" s="31"/>
      <c r="L36" s="31"/>
      <c r="M36" s="31"/>
    </row>
    <row r="37" spans="2:13" ht="24" customHeight="1" x14ac:dyDescent="0.25">
      <c r="B37" s="27"/>
      <c r="C37" s="27"/>
      <c r="D37" s="27"/>
      <c r="E37" s="27"/>
      <c r="F37" s="28"/>
      <c r="G37" s="28"/>
      <c r="H37" s="27"/>
      <c r="I37" s="27"/>
      <c r="J37" s="30"/>
      <c r="K37" s="31"/>
      <c r="L37" s="31"/>
      <c r="M37" s="31"/>
    </row>
    <row r="38" spans="2:13" ht="21" customHeight="1" x14ac:dyDescent="0.25">
      <c r="K38" s="35"/>
    </row>
  </sheetData>
  <sheetProtection selectLockedCells="1" selectUnlockedCells="1"/>
  <mergeCells count="1">
    <mergeCell ref="B3:D3"/>
  </mergeCells>
  <dataValidations count="12">
    <dataValidation allowBlank="1" showInputMessage="1" showErrorMessage="1" prompt="Enter your Company Name in cell B2._x000a__x000a_Clear the table below and enter your own Forecast Input data. To manage the available options for the dropdowns, go to Lists Tab." sqref="A1" xr:uid="{6F20E540-8928-43DB-8160-D31F5C67E522}"/>
    <dataValidation allowBlank="1" showInputMessage="1" showErrorMessage="1" prompt="Enter your Company Name in this cell" sqref="B2" xr:uid="{E9E50DC3-281A-46D2-9623-F05D751F61F0}"/>
    <dataValidation allowBlank="1" showInputMessage="1" showErrorMessage="1" prompt="Title of sheet is in this cell" sqref="B3" xr:uid="{69E1B3DC-636C-49FB-9D7D-51A180D8C2DD}"/>
    <dataValidation allowBlank="1" showInputMessage="1" showErrorMessage="1" prompt="Enter Opportunity name in this column under this heading" sqref="B6" xr:uid="{B1BE49CF-F86A-4D79-AB71-AF8B6756410B}"/>
    <dataValidation allowBlank="1" showInputMessage="1" showErrorMessage="1" prompt="Select the Sales agent from the dropdown list in each cell in this column. Options are defined in the Lists worksheet. Press ALT+DOWN ARROW to navigate the list, then ENTER to make a selection" sqref="C6" xr:uid="{761549DF-24FC-4DD8-AB73-3ADFC9FD0A14}"/>
    <dataValidation allowBlank="1" showInputMessage="1" showErrorMessage="1" prompt="Select the Sales region from the dropdown list in each cell in this column. Options are defined in the Lists worksheet. Press ALT+DOWN ARROW to navigate the list, then ENTER to make a selection" sqref="D6" xr:uid="{150D4240-52F0-4034-BB69-6ADBC6B0CC52}"/>
    <dataValidation allowBlank="1" showInputMessage="1" showErrorMessage="1" prompt="Select the Sales category from the dropdown list in each cell in this column. Options are defined in the Lists worksheet. Press ALT+DOWN ARROW to navigate the list, then ENTER to make a selection" sqref="E6:H6" xr:uid="{99182A11-10C0-4DE9-A8B8-C78170E240A5}"/>
    <dataValidation allowBlank="1" showInputMessage="1" showErrorMessage="1" prompt="Enter Forecast amount in this column under this heading" sqref="F6:G6" xr:uid="{816E615B-BDD7-4380-B477-C3E0224C4A85}"/>
    <dataValidation allowBlank="1" showInputMessage="1" showErrorMessage="1" prompt="Select the Sales phase from the dropdown list in each cell in this column. Options are defined in the Lists worksheet. Press ALT+DOWN ARROW to navigate the list, then ENTER to make a selection" sqref="I6" xr:uid="{2D084E00-2A2E-4C72-BD9E-E5669283461B}"/>
    <dataValidation allowBlank="1" showInputMessage="1" showErrorMessage="1" prompt="Enter Probability of sale in this column under this heading" sqref="J6:K6" xr:uid="{32030517-C260-4B39-AEE1-75F051561D2C}"/>
    <dataValidation allowBlank="1" showInputMessage="1" showErrorMessage="1" prompt="Enter Forecast close in this column under this heading" sqref="L6" xr:uid="{6CA282E3-8693-4158-93AB-0970801132E8}"/>
    <dataValidation allowBlank="1" showInputMessage="1" showErrorMessage="1" prompt="Weighted forecast is automatically calculated in this column" sqref="M6" xr:uid="{7903BA23-56D8-4E93-8E76-B48019034468}"/>
  </dataValidations>
  <printOptions horizontalCentered="1"/>
  <pageMargins left="0.25" right="0.25" top="0.75" bottom="0.75" header="0.3" footer="0.3"/>
  <pageSetup scale="62" fitToHeight="0" orientation="landscape" r:id="rId1"/>
  <drawing r:id="rId2"/>
  <tableParts count="1">
    <tablePart r:id="rId3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FEE12D-A64E-4EAB-8F0B-99118849540B}">
  <sheetPr>
    <tabColor theme="3"/>
    <pageSetUpPr fitToPage="1"/>
  </sheetPr>
  <dimension ref="A1:N39"/>
  <sheetViews>
    <sheetView showGridLines="0" topLeftCell="A4" zoomScale="80" zoomScaleNormal="80" workbookViewId="0">
      <selection activeCell="H43" sqref="H43"/>
    </sheetView>
  </sheetViews>
  <sheetFormatPr defaultColWidth="9.85546875" defaultRowHeight="21" customHeight="1" x14ac:dyDescent="0.25"/>
  <cols>
    <col min="1" max="1" width="4.28515625" style="1" customWidth="1"/>
    <col min="2" max="2" width="45.85546875" style="32" bestFit="1" customWidth="1"/>
    <col min="3" max="3" width="76.28515625" style="32" bestFit="1" customWidth="1"/>
    <col min="4" max="4" width="110" style="32" bestFit="1" customWidth="1"/>
    <col min="5" max="5" width="79.42578125" style="32" bestFit="1" customWidth="1"/>
    <col min="6" max="6" width="61.28515625" style="32" bestFit="1" customWidth="1"/>
    <col min="7" max="7" width="34.42578125" style="33" bestFit="1" customWidth="1"/>
    <col min="8" max="8" width="67.140625" style="33" bestFit="1" customWidth="1"/>
    <col min="9" max="9" width="38.7109375" style="32" bestFit="1" customWidth="1"/>
    <col min="10" max="10" width="34.28515625" style="34" bestFit="1" customWidth="1"/>
    <col min="11" max="11" width="25.5703125" style="34" bestFit="1" customWidth="1"/>
    <col min="12" max="12" width="26" style="35" bestFit="1" customWidth="1"/>
    <col min="13" max="13" width="20" style="35" bestFit="1" customWidth="1"/>
    <col min="14" max="14" width="2" style="1" bestFit="1" customWidth="1"/>
    <col min="15" max="16384" width="9.85546875" style="4"/>
  </cols>
  <sheetData>
    <row r="1" spans="1:14" ht="20.100000000000001" customHeight="1" x14ac:dyDescent="0.25">
      <c r="B1" s="1"/>
      <c r="C1" s="2"/>
      <c r="D1" s="2"/>
      <c r="E1" s="2"/>
      <c r="F1" s="2"/>
      <c r="G1" s="1"/>
      <c r="H1" s="1"/>
      <c r="I1" s="1"/>
      <c r="J1" s="1"/>
      <c r="K1" s="1"/>
      <c r="L1" s="3"/>
      <c r="M1" s="3"/>
      <c r="N1" s="1" t="s">
        <v>0</v>
      </c>
    </row>
    <row r="2" spans="1:14" s="10" customFormat="1" ht="30" customHeight="1" x14ac:dyDescent="0.35">
      <c r="A2" s="5"/>
      <c r="B2" s="6" t="s">
        <v>1</v>
      </c>
      <c r="C2" s="7"/>
      <c r="D2" s="7"/>
      <c r="E2" s="7"/>
      <c r="F2" s="7"/>
      <c r="G2" s="5"/>
      <c r="H2" s="5"/>
      <c r="I2" s="8"/>
      <c r="J2" s="8"/>
      <c r="K2" s="8"/>
      <c r="L2" s="9"/>
      <c r="M2" s="9"/>
      <c r="N2" s="5"/>
    </row>
    <row r="3" spans="1:14" s="15" customFormat="1" ht="80.099999999999994" customHeight="1" x14ac:dyDescent="1.05">
      <c r="A3" s="11"/>
      <c r="B3" s="38" t="s">
        <v>184</v>
      </c>
      <c r="C3" s="38"/>
      <c r="D3" s="38"/>
      <c r="E3" s="12"/>
      <c r="F3" s="12"/>
      <c r="G3" s="11"/>
      <c r="H3" s="11"/>
      <c r="I3" s="13"/>
      <c r="J3" s="13"/>
      <c r="K3" s="13"/>
      <c r="L3" s="14"/>
      <c r="M3" s="14"/>
      <c r="N3" s="11"/>
    </row>
    <row r="4" spans="1:14" s="10" customFormat="1" ht="32.1" customHeight="1" x14ac:dyDescent="0.25">
      <c r="A4" s="5"/>
      <c r="B4" s="16" t="s">
        <v>3</v>
      </c>
      <c r="C4" s="7"/>
      <c r="D4" s="7"/>
      <c r="E4" s="7"/>
      <c r="F4" s="7"/>
      <c r="G4" s="5"/>
      <c r="H4" s="5"/>
      <c r="I4" s="8"/>
      <c r="J4" s="8"/>
      <c r="K4" s="8"/>
      <c r="L4" s="9"/>
      <c r="M4" s="9"/>
      <c r="N4" s="5"/>
    </row>
    <row r="5" spans="1:14" ht="24" customHeight="1" x14ac:dyDescent="0.25">
      <c r="B5" s="17"/>
      <c r="C5" s="18"/>
      <c r="D5" s="18"/>
      <c r="E5" s="18"/>
      <c r="F5" s="18"/>
      <c r="G5" s="19"/>
      <c r="H5" s="19"/>
      <c r="I5" s="19"/>
      <c r="J5" s="19"/>
      <c r="K5" s="19"/>
      <c r="L5" s="20"/>
      <c r="M5" s="21"/>
    </row>
    <row r="6" spans="1:14" s="26" customFormat="1" ht="60" customHeight="1" x14ac:dyDescent="0.3">
      <c r="A6" s="22"/>
      <c r="B6" s="23" t="s">
        <v>4</v>
      </c>
      <c r="C6" s="23" t="s">
        <v>5</v>
      </c>
      <c r="D6" s="23" t="s">
        <v>6</v>
      </c>
      <c r="E6" s="23" t="s">
        <v>7</v>
      </c>
      <c r="F6" s="23" t="s">
        <v>8</v>
      </c>
      <c r="G6" s="23" t="s">
        <v>9</v>
      </c>
      <c r="H6" s="23" t="s">
        <v>440</v>
      </c>
      <c r="I6" s="23" t="s">
        <v>10</v>
      </c>
      <c r="J6" s="24" t="s">
        <v>11</v>
      </c>
      <c r="K6" s="24" t="s">
        <v>12</v>
      </c>
      <c r="L6" s="25" t="s">
        <v>13</v>
      </c>
      <c r="M6" s="25" t="s">
        <v>14</v>
      </c>
      <c r="N6" s="22"/>
    </row>
    <row r="7" spans="1:14" ht="24" customHeight="1" x14ac:dyDescent="0.25">
      <c r="B7" s="27" t="s">
        <v>372</v>
      </c>
      <c r="C7" s="27" t="s">
        <v>373</v>
      </c>
      <c r="D7" s="27" t="s">
        <v>375</v>
      </c>
      <c r="E7" s="27" t="s">
        <v>376</v>
      </c>
      <c r="F7" s="27"/>
      <c r="G7" s="28">
        <v>15000</v>
      </c>
      <c r="H7" s="28" t="s">
        <v>804</v>
      </c>
      <c r="I7" s="27" t="s">
        <v>377</v>
      </c>
      <c r="J7" s="30" t="s">
        <v>364</v>
      </c>
      <c r="K7" s="31"/>
      <c r="L7" s="31"/>
      <c r="M7" s="31" t="s">
        <v>374</v>
      </c>
    </row>
    <row r="8" spans="1:14" ht="24" customHeight="1" x14ac:dyDescent="0.25">
      <c r="B8" s="27" t="s">
        <v>797</v>
      </c>
      <c r="C8" s="27" t="s">
        <v>798</v>
      </c>
      <c r="D8" s="27" t="s">
        <v>799</v>
      </c>
      <c r="E8" s="27" t="s">
        <v>265</v>
      </c>
      <c r="F8" s="27"/>
      <c r="G8" s="28">
        <v>10000</v>
      </c>
      <c r="H8" s="28"/>
      <c r="I8" s="27"/>
      <c r="J8" s="30" t="s">
        <v>364</v>
      </c>
      <c r="K8" s="31"/>
      <c r="L8" s="31" t="s">
        <v>800</v>
      </c>
      <c r="M8" s="31" t="s">
        <v>374</v>
      </c>
    </row>
    <row r="9" spans="1:14" ht="24" customHeight="1" x14ac:dyDescent="0.25">
      <c r="B9" s="27" t="s">
        <v>235</v>
      </c>
      <c r="C9" s="27" t="s">
        <v>733</v>
      </c>
      <c r="D9" s="27" t="s">
        <v>755</v>
      </c>
      <c r="E9" s="27" t="s">
        <v>265</v>
      </c>
      <c r="F9" s="27" t="s">
        <v>801</v>
      </c>
      <c r="G9" s="28"/>
      <c r="H9" s="28" t="s">
        <v>805</v>
      </c>
      <c r="I9" s="29"/>
      <c r="J9" s="30"/>
      <c r="K9" s="31"/>
      <c r="L9" s="31"/>
      <c r="M9" s="31"/>
    </row>
    <row r="10" spans="1:14" ht="24" customHeight="1" x14ac:dyDescent="0.25">
      <c r="B10" s="27" t="s">
        <v>236</v>
      </c>
      <c r="C10" s="27" t="s">
        <v>734</v>
      </c>
      <c r="D10" s="27" t="s">
        <v>756</v>
      </c>
      <c r="E10" s="27" t="s">
        <v>265</v>
      </c>
      <c r="F10" s="31"/>
      <c r="G10" s="28"/>
      <c r="H10" s="28" t="s">
        <v>806</v>
      </c>
      <c r="I10" s="27"/>
      <c r="J10" s="30"/>
      <c r="K10" s="31"/>
      <c r="L10" s="31"/>
      <c r="M10" s="31"/>
    </row>
    <row r="11" spans="1:14" ht="24" customHeight="1" x14ac:dyDescent="0.25">
      <c r="B11" s="27" t="s">
        <v>237</v>
      </c>
      <c r="C11" s="27" t="s">
        <v>735</v>
      </c>
      <c r="D11" s="27"/>
      <c r="E11" s="27" t="s">
        <v>266</v>
      </c>
      <c r="F11" s="27"/>
      <c r="G11" s="28"/>
      <c r="H11" s="28" t="s">
        <v>807</v>
      </c>
      <c r="I11" s="27"/>
      <c r="J11" s="30"/>
      <c r="K11" s="31"/>
      <c r="L11" s="31"/>
      <c r="M11" s="31"/>
    </row>
    <row r="12" spans="1:14" ht="24" customHeight="1" x14ac:dyDescent="0.25">
      <c r="B12" s="27" t="s">
        <v>238</v>
      </c>
      <c r="C12" s="27" t="s">
        <v>736</v>
      </c>
      <c r="D12" s="27" t="s">
        <v>757</v>
      </c>
      <c r="E12" s="27" t="s">
        <v>786</v>
      </c>
      <c r="F12"/>
      <c r="G12" s="28"/>
      <c r="H12" s="28" t="s">
        <v>808</v>
      </c>
      <c r="I12" s="27"/>
      <c r="J12" s="30"/>
      <c r="K12" s="31"/>
      <c r="L12" s="31"/>
      <c r="M12" s="31"/>
    </row>
    <row r="13" spans="1:14" ht="24" customHeight="1" x14ac:dyDescent="0.25">
      <c r="B13" s="27" t="s">
        <v>239</v>
      </c>
      <c r="C13" s="27" t="s">
        <v>737</v>
      </c>
      <c r="D13" s="27" t="s">
        <v>758</v>
      </c>
      <c r="E13" s="27" t="s">
        <v>780</v>
      </c>
      <c r="F13"/>
      <c r="G13" s="28"/>
      <c r="H13" s="28" t="s">
        <v>809</v>
      </c>
      <c r="I13" s="27"/>
      <c r="J13" s="30"/>
      <c r="K13" s="31"/>
      <c r="L13" s="31"/>
      <c r="M13" s="31"/>
    </row>
    <row r="14" spans="1:14" ht="24" customHeight="1" x14ac:dyDescent="0.25">
      <c r="B14" s="27" t="s">
        <v>240</v>
      </c>
      <c r="C14" s="27" t="s">
        <v>738</v>
      </c>
      <c r="D14" s="27"/>
      <c r="E14" s="27" t="s">
        <v>184</v>
      </c>
      <c r="F14"/>
      <c r="G14" s="28"/>
      <c r="H14" s="28"/>
      <c r="I14" s="27"/>
      <c r="J14" s="30"/>
      <c r="K14" s="31"/>
      <c r="L14" s="31"/>
      <c r="M14" s="31"/>
    </row>
    <row r="15" spans="1:14" ht="24" customHeight="1" x14ac:dyDescent="0.25">
      <c r="B15" s="27" t="s">
        <v>241</v>
      </c>
      <c r="C15" s="27" t="s">
        <v>739</v>
      </c>
      <c r="D15" s="27"/>
      <c r="E15" s="27" t="s">
        <v>794</v>
      </c>
      <c r="F15"/>
      <c r="G15" s="28"/>
      <c r="H15" s="28"/>
      <c r="I15" s="27"/>
      <c r="J15" s="30"/>
      <c r="K15" s="31"/>
      <c r="L15" s="31"/>
      <c r="M15" s="31"/>
    </row>
    <row r="16" spans="1:14" ht="24" customHeight="1" x14ac:dyDescent="0.25">
      <c r="B16" s="27" t="s">
        <v>242</v>
      </c>
      <c r="C16" s="27" t="s">
        <v>740</v>
      </c>
      <c r="D16" s="27" t="s">
        <v>759</v>
      </c>
      <c r="E16" s="27" t="s">
        <v>184</v>
      </c>
      <c r="F16" s="27"/>
      <c r="G16" s="28"/>
      <c r="H16" s="28"/>
      <c r="I16" s="27"/>
      <c r="J16" s="30"/>
      <c r="K16" s="31"/>
      <c r="L16" s="31"/>
      <c r="M16" s="31"/>
    </row>
    <row r="17" spans="2:13" ht="24" customHeight="1" x14ac:dyDescent="0.25">
      <c r="B17" s="27" t="s">
        <v>243</v>
      </c>
      <c r="C17" s="27" t="s">
        <v>741</v>
      </c>
      <c r="D17" s="27" t="s">
        <v>760</v>
      </c>
      <c r="E17" s="27" t="s">
        <v>787</v>
      </c>
      <c r="F17" s="27" t="s">
        <v>802</v>
      </c>
      <c r="G17" s="28"/>
      <c r="H17" s="28" t="s">
        <v>810</v>
      </c>
      <c r="I17" s="27"/>
      <c r="J17" s="30"/>
      <c r="K17" s="31"/>
      <c r="L17" s="31"/>
      <c r="M17" s="31"/>
    </row>
    <row r="18" spans="2:13" ht="24" customHeight="1" x14ac:dyDescent="0.25">
      <c r="B18" s="27" t="s">
        <v>244</v>
      </c>
      <c r="C18" s="27" t="s">
        <v>742</v>
      </c>
      <c r="D18" s="27" t="s">
        <v>761</v>
      </c>
      <c r="E18" s="27" t="s">
        <v>795</v>
      </c>
      <c r="F18" s="27"/>
      <c r="G18" s="28"/>
      <c r="H18" s="28" t="s">
        <v>811</v>
      </c>
      <c r="I18" s="27"/>
      <c r="J18" s="30"/>
      <c r="K18" s="31"/>
      <c r="L18" s="31"/>
      <c r="M18" s="31"/>
    </row>
    <row r="19" spans="2:13" s="1" customFormat="1" ht="24" customHeight="1" x14ac:dyDescent="0.25">
      <c r="B19" s="27" t="s">
        <v>245</v>
      </c>
      <c r="C19" s="27" t="s">
        <v>736</v>
      </c>
      <c r="D19" s="27" t="s">
        <v>762</v>
      </c>
      <c r="E19" s="27" t="s">
        <v>781</v>
      </c>
      <c r="F19" s="27"/>
      <c r="G19" s="28"/>
      <c r="H19" s="28" t="s">
        <v>812</v>
      </c>
      <c r="I19" s="27"/>
      <c r="J19" s="30"/>
      <c r="K19" s="31"/>
      <c r="L19" s="31"/>
      <c r="M19" s="31"/>
    </row>
    <row r="20" spans="2:13" s="1" customFormat="1" ht="24" customHeight="1" x14ac:dyDescent="0.25">
      <c r="B20" s="27" t="s">
        <v>246</v>
      </c>
      <c r="C20" s="27" t="s">
        <v>736</v>
      </c>
      <c r="D20" s="27" t="s">
        <v>763</v>
      </c>
      <c r="E20" s="27" t="s">
        <v>793</v>
      </c>
      <c r="F20" s="27"/>
      <c r="G20" s="28"/>
      <c r="H20" s="28" t="s">
        <v>808</v>
      </c>
      <c r="I20" s="27"/>
      <c r="J20" s="30"/>
      <c r="K20" s="31"/>
      <c r="L20" s="31"/>
      <c r="M20" s="31"/>
    </row>
    <row r="21" spans="2:13" s="1" customFormat="1" ht="24" customHeight="1" x14ac:dyDescent="0.25">
      <c r="B21" s="27" t="s">
        <v>247</v>
      </c>
      <c r="C21" s="27" t="s">
        <v>743</v>
      </c>
      <c r="D21" s="27" t="s">
        <v>764</v>
      </c>
      <c r="E21" s="27" t="s">
        <v>782</v>
      </c>
      <c r="F21" s="27"/>
      <c r="G21" s="28"/>
      <c r="H21" s="28" t="s">
        <v>813</v>
      </c>
      <c r="I21" s="27"/>
      <c r="J21" s="30"/>
      <c r="K21" s="31"/>
      <c r="L21" s="31"/>
      <c r="M21" s="31"/>
    </row>
    <row r="22" spans="2:13" s="1" customFormat="1" ht="24" customHeight="1" x14ac:dyDescent="0.25">
      <c r="B22" s="27" t="s">
        <v>248</v>
      </c>
      <c r="C22" s="27" t="s">
        <v>736</v>
      </c>
      <c r="D22" s="27" t="s">
        <v>765</v>
      </c>
      <c r="E22" s="27" t="s">
        <v>796</v>
      </c>
      <c r="F22" s="27"/>
      <c r="G22" s="28"/>
      <c r="H22" s="28" t="s">
        <v>814</v>
      </c>
      <c r="I22" s="27"/>
      <c r="J22" s="30"/>
      <c r="K22" s="31"/>
      <c r="L22" s="31"/>
      <c r="M22" s="31"/>
    </row>
    <row r="23" spans="2:13" s="1" customFormat="1" ht="24" customHeight="1" x14ac:dyDescent="0.25">
      <c r="B23" s="27" t="s">
        <v>249</v>
      </c>
      <c r="C23" s="27" t="s">
        <v>744</v>
      </c>
      <c r="D23" s="27" t="s">
        <v>766</v>
      </c>
      <c r="E23" s="27" t="s">
        <v>184</v>
      </c>
      <c r="F23" s="27"/>
      <c r="G23" s="28"/>
      <c r="H23" s="28" t="s">
        <v>815</v>
      </c>
      <c r="I23" s="27"/>
      <c r="J23" s="30"/>
      <c r="K23" s="31"/>
      <c r="L23" s="31"/>
      <c r="M23" s="31"/>
    </row>
    <row r="24" spans="2:13" s="1" customFormat="1" ht="24" customHeight="1" x14ac:dyDescent="0.25">
      <c r="B24" s="27" t="s">
        <v>250</v>
      </c>
      <c r="C24" s="27" t="s">
        <v>745</v>
      </c>
      <c r="D24" s="27" t="s">
        <v>767</v>
      </c>
      <c r="E24" s="27" t="s">
        <v>783</v>
      </c>
      <c r="F24" s="27" t="s">
        <v>803</v>
      </c>
      <c r="G24" s="28"/>
      <c r="H24" s="28" t="s">
        <v>816</v>
      </c>
      <c r="I24" s="27"/>
      <c r="J24" s="30"/>
      <c r="K24" s="31"/>
      <c r="L24" s="31"/>
      <c r="M24" s="31"/>
    </row>
    <row r="25" spans="2:13" s="1" customFormat="1" ht="24" customHeight="1" x14ac:dyDescent="0.25">
      <c r="B25" s="27" t="s">
        <v>251</v>
      </c>
      <c r="C25" s="27" t="s">
        <v>746</v>
      </c>
      <c r="D25" s="27" t="s">
        <v>768</v>
      </c>
      <c r="E25" s="27" t="s">
        <v>796</v>
      </c>
      <c r="F25" s="27"/>
      <c r="G25" s="28"/>
      <c r="H25" s="28" t="s">
        <v>817</v>
      </c>
      <c r="I25" s="27"/>
      <c r="J25" s="30"/>
      <c r="K25" s="31"/>
      <c r="L25" s="31"/>
      <c r="M25" s="31"/>
    </row>
    <row r="26" spans="2:13" s="1" customFormat="1" ht="24" customHeight="1" x14ac:dyDescent="0.25">
      <c r="B26" s="27" t="s">
        <v>252</v>
      </c>
      <c r="C26" s="27" t="s">
        <v>747</v>
      </c>
      <c r="D26" s="27" t="s">
        <v>765</v>
      </c>
      <c r="E26" s="27" t="s">
        <v>796</v>
      </c>
      <c r="F26" s="27"/>
      <c r="G26" s="28"/>
      <c r="H26" s="28" t="s">
        <v>818</v>
      </c>
      <c r="I26" s="27"/>
      <c r="J26" s="30"/>
      <c r="K26" s="31"/>
      <c r="L26" s="31"/>
      <c r="M26" s="31"/>
    </row>
    <row r="27" spans="2:13" s="1" customFormat="1" ht="24" customHeight="1" x14ac:dyDescent="0.25">
      <c r="B27" s="27" t="s">
        <v>253</v>
      </c>
      <c r="C27" s="27" t="s">
        <v>741</v>
      </c>
      <c r="D27" s="27" t="s">
        <v>769</v>
      </c>
      <c r="E27" s="27" t="s">
        <v>796</v>
      </c>
      <c r="F27" s="27"/>
      <c r="G27" s="28"/>
      <c r="H27" s="28" t="s">
        <v>819</v>
      </c>
      <c r="I27" s="27"/>
      <c r="J27" s="30"/>
      <c r="K27" s="31"/>
      <c r="L27" s="31"/>
      <c r="M27" s="31"/>
    </row>
    <row r="28" spans="2:13" s="1" customFormat="1" ht="24" customHeight="1" x14ac:dyDescent="0.25">
      <c r="B28" s="27" t="s">
        <v>254</v>
      </c>
      <c r="C28" s="27" t="s">
        <v>748</v>
      </c>
      <c r="D28" s="27" t="s">
        <v>770</v>
      </c>
      <c r="E28" s="27" t="s">
        <v>184</v>
      </c>
      <c r="F28" s="27"/>
      <c r="G28" s="28"/>
      <c r="H28" s="28" t="s">
        <v>820</v>
      </c>
      <c r="I28" s="27"/>
      <c r="J28" s="30"/>
      <c r="K28" s="31"/>
      <c r="L28" s="31"/>
      <c r="M28" s="31"/>
    </row>
    <row r="29" spans="2:13" s="1" customFormat="1" ht="24" customHeight="1" x14ac:dyDescent="0.25">
      <c r="B29" s="27" t="s">
        <v>255</v>
      </c>
      <c r="C29" s="27" t="s">
        <v>749</v>
      </c>
      <c r="D29" s="27" t="s">
        <v>771</v>
      </c>
      <c r="E29" s="27" t="s">
        <v>184</v>
      </c>
      <c r="F29" s="27"/>
      <c r="G29" s="28"/>
      <c r="H29" s="28" t="s">
        <v>821</v>
      </c>
      <c r="I29" s="27"/>
      <c r="J29" s="30"/>
      <c r="K29" s="31"/>
      <c r="L29" s="31"/>
      <c r="M29" s="31"/>
    </row>
    <row r="30" spans="2:13" s="1" customFormat="1" ht="24" customHeight="1" x14ac:dyDescent="0.25">
      <c r="B30" s="27" t="s">
        <v>256</v>
      </c>
      <c r="C30" s="27" t="s">
        <v>750</v>
      </c>
      <c r="D30" s="27" t="s">
        <v>772</v>
      </c>
      <c r="E30" s="27" t="s">
        <v>788</v>
      </c>
      <c r="F30" s="27"/>
      <c r="G30" s="28"/>
      <c r="H30" s="28" t="s">
        <v>822</v>
      </c>
      <c r="I30" s="27"/>
      <c r="J30" s="30"/>
      <c r="K30" s="31"/>
      <c r="L30" s="31"/>
      <c r="M30" s="31"/>
    </row>
    <row r="31" spans="2:13" s="1" customFormat="1" ht="24" customHeight="1" x14ac:dyDescent="0.25">
      <c r="B31" s="27" t="s">
        <v>257</v>
      </c>
      <c r="C31" s="27" t="s">
        <v>751</v>
      </c>
      <c r="D31" s="27" t="s">
        <v>773</v>
      </c>
      <c r="E31" s="27" t="s">
        <v>784</v>
      </c>
      <c r="F31" s="27"/>
      <c r="G31" s="28"/>
      <c r="H31" s="28" t="s">
        <v>823</v>
      </c>
      <c r="I31" s="27"/>
      <c r="J31" s="30"/>
      <c r="K31" s="31"/>
      <c r="L31" s="31"/>
      <c r="M31" s="31"/>
    </row>
    <row r="32" spans="2:13" s="1" customFormat="1" ht="24" customHeight="1" x14ac:dyDescent="0.25">
      <c r="B32" s="27" t="s">
        <v>258</v>
      </c>
      <c r="C32" s="27" t="s">
        <v>729</v>
      </c>
      <c r="D32" s="27" t="s">
        <v>774</v>
      </c>
      <c r="E32" s="27" t="s">
        <v>785</v>
      </c>
      <c r="F32" s="27"/>
      <c r="G32" s="28"/>
      <c r="H32" s="28" t="s">
        <v>824</v>
      </c>
      <c r="I32" s="27"/>
      <c r="J32" s="30"/>
      <c r="K32" s="31"/>
      <c r="L32" s="31"/>
      <c r="M32" s="31"/>
    </row>
    <row r="33" spans="2:13" s="1" customFormat="1" ht="24" customHeight="1" x14ac:dyDescent="0.25">
      <c r="B33" s="27" t="s">
        <v>259</v>
      </c>
      <c r="C33" s="27" t="s">
        <v>752</v>
      </c>
      <c r="D33" s="27" t="s">
        <v>775</v>
      </c>
      <c r="E33" s="27" t="s">
        <v>184</v>
      </c>
      <c r="F33" s="27"/>
      <c r="G33" s="28"/>
      <c r="H33" s="28" t="s">
        <v>825</v>
      </c>
      <c r="I33" s="27"/>
      <c r="J33" s="30"/>
      <c r="K33" s="31"/>
      <c r="L33" s="31"/>
      <c r="M33" s="31"/>
    </row>
    <row r="34" spans="2:13" s="1" customFormat="1" ht="24" customHeight="1" x14ac:dyDescent="0.25">
      <c r="B34" s="27" t="s">
        <v>260</v>
      </c>
      <c r="C34" s="27" t="s">
        <v>753</v>
      </c>
      <c r="D34" s="27"/>
      <c r="E34" s="27" t="s">
        <v>184</v>
      </c>
      <c r="F34" s="27"/>
      <c r="G34" s="28"/>
      <c r="H34" s="28" t="s">
        <v>636</v>
      </c>
      <c r="I34" s="27"/>
      <c r="J34" s="30"/>
      <c r="K34" s="31"/>
      <c r="L34" s="31"/>
      <c r="M34" s="31"/>
    </row>
    <row r="35" spans="2:13" s="1" customFormat="1" ht="24" customHeight="1" x14ac:dyDescent="0.25">
      <c r="B35" s="27" t="s">
        <v>261</v>
      </c>
      <c r="C35" s="27" t="s">
        <v>730</v>
      </c>
      <c r="D35" s="27" t="s">
        <v>776</v>
      </c>
      <c r="E35" s="27" t="s">
        <v>789</v>
      </c>
      <c r="F35" s="27"/>
      <c r="G35" s="28"/>
      <c r="H35" s="28" t="s">
        <v>826</v>
      </c>
      <c r="I35" s="27"/>
      <c r="J35" s="30"/>
      <c r="K35" s="31"/>
      <c r="L35" s="31"/>
      <c r="M35" s="31"/>
    </row>
    <row r="36" spans="2:13" s="1" customFormat="1" ht="24" customHeight="1" x14ac:dyDescent="0.25">
      <c r="B36" s="27" t="s">
        <v>262</v>
      </c>
      <c r="C36" s="27" t="s">
        <v>731</v>
      </c>
      <c r="D36" s="27" t="s">
        <v>777</v>
      </c>
      <c r="E36" s="27" t="s">
        <v>790</v>
      </c>
      <c r="F36" s="27"/>
      <c r="G36" s="28"/>
      <c r="H36" s="28" t="s">
        <v>827</v>
      </c>
      <c r="I36" s="27"/>
      <c r="J36" s="30"/>
      <c r="K36" s="31"/>
      <c r="L36" s="31"/>
      <c r="M36" s="31"/>
    </row>
    <row r="37" spans="2:13" s="1" customFormat="1" ht="24" customHeight="1" x14ac:dyDescent="0.25">
      <c r="B37" s="27" t="s">
        <v>263</v>
      </c>
      <c r="C37" s="27" t="s">
        <v>754</v>
      </c>
      <c r="D37" s="27" t="s">
        <v>778</v>
      </c>
      <c r="E37" s="27" t="s">
        <v>791</v>
      </c>
      <c r="F37" s="27"/>
      <c r="G37" s="28"/>
      <c r="H37" s="28" t="s">
        <v>828</v>
      </c>
      <c r="I37" s="27"/>
      <c r="J37" s="30"/>
      <c r="K37" s="31"/>
      <c r="L37" s="31"/>
      <c r="M37" s="31"/>
    </row>
    <row r="38" spans="2:13" s="1" customFormat="1" ht="24" customHeight="1" x14ac:dyDescent="0.25">
      <c r="B38" s="27" t="s">
        <v>264</v>
      </c>
      <c r="C38" s="27" t="s">
        <v>732</v>
      </c>
      <c r="D38" s="27" t="s">
        <v>779</v>
      </c>
      <c r="E38" s="27" t="s">
        <v>792</v>
      </c>
      <c r="F38" s="27"/>
      <c r="G38" s="28"/>
      <c r="H38" s="28"/>
      <c r="I38" s="27"/>
      <c r="J38" s="30"/>
      <c r="K38" s="31"/>
      <c r="L38" s="31"/>
      <c r="M38" s="31"/>
    </row>
    <row r="39" spans="2:13" s="1" customFormat="1" ht="21" customHeight="1" x14ac:dyDescent="0.25">
      <c r="B39" s="32"/>
      <c r="C39" s="32"/>
      <c r="D39" s="32"/>
      <c r="E39" s="32"/>
      <c r="F39" s="32"/>
      <c r="G39" s="33"/>
      <c r="H39" s="33"/>
      <c r="I39" s="32"/>
      <c r="J39" s="34"/>
      <c r="K39" s="35"/>
      <c r="L39" s="35"/>
      <c r="M39" s="35"/>
    </row>
  </sheetData>
  <sheetProtection selectLockedCells="1" selectUnlockedCells="1"/>
  <mergeCells count="1">
    <mergeCell ref="B3:D3"/>
  </mergeCells>
  <dataValidations disablePrompts="1" count="12">
    <dataValidation allowBlank="1" showInputMessage="1" showErrorMessage="1" prompt="Weighted forecast is automatically calculated in this column" sqref="M6:M8" xr:uid="{A922489E-2123-4DFF-84D5-388D2B242112}"/>
    <dataValidation allowBlank="1" showInputMessage="1" showErrorMessage="1" prompt="Enter Forecast close in this column under this heading" sqref="L6:L8" xr:uid="{B77C7C9F-1E83-443A-A408-210A007E8D79}"/>
    <dataValidation allowBlank="1" showInputMessage="1" showErrorMessage="1" prompt="Enter Probability of sale in this column under this heading" sqref="J6:K8" xr:uid="{37A27982-469E-4B67-837B-4A07A0E49436}"/>
    <dataValidation allowBlank="1" showInputMessage="1" showErrorMessage="1" prompt="Select the Sales phase from the dropdown list in each cell in this column. Options are defined in the Lists worksheet. Press ALT+DOWN ARROW to navigate the list, then ENTER to make a selection" sqref="I6:I8" xr:uid="{834F5C15-2AC9-4C3E-87C3-32CD25799968}"/>
    <dataValidation allowBlank="1" showInputMessage="1" showErrorMessage="1" prompt="Enter Forecast amount in this column under this heading" sqref="G6:H8" xr:uid="{F6A56261-4D07-46F1-8646-52C9F607B8C1}"/>
    <dataValidation allowBlank="1" showInputMessage="1" showErrorMessage="1" prompt="Select the Sales category from the dropdown list in each cell in this column. Options are defined in the Lists worksheet. Press ALT+DOWN ARROW to navigate the list, then ENTER to make a selection" sqref="E6:F8" xr:uid="{83F14C42-90F8-4A0F-9833-EEF1FF897F16}"/>
    <dataValidation allowBlank="1" showInputMessage="1" showErrorMessage="1" prompt="Select the Sales region from the dropdown list in each cell in this column. Options are defined in the Lists worksheet. Press ALT+DOWN ARROW to navigate the list, then ENTER to make a selection" sqref="D6:D8" xr:uid="{47571B3A-E84A-4E51-8640-B9DE0FA87F45}"/>
    <dataValidation allowBlank="1" showInputMessage="1" showErrorMessage="1" prompt="Select the Sales agent from the dropdown list in each cell in this column. Options are defined in the Lists worksheet. Press ALT+DOWN ARROW to navigate the list, then ENTER to make a selection" sqref="C6:C8" xr:uid="{15A5706B-6C3B-40E0-9F0C-3D2DFD13711F}"/>
    <dataValidation allowBlank="1" showInputMessage="1" showErrorMessage="1" prompt="Enter Opportunity name in this column under this heading" sqref="B6:B8" xr:uid="{EB345F7F-696A-4412-AA25-B67979984745}"/>
    <dataValidation allowBlank="1" showInputMessage="1" showErrorMessage="1" prompt="Title of sheet is in this cell" sqref="B3" xr:uid="{BCF89E64-C7B2-4DF6-AF30-26064298F21B}"/>
    <dataValidation allowBlank="1" showInputMessage="1" showErrorMessage="1" prompt="Enter your Company Name in this cell" sqref="B2" xr:uid="{9F7DF2C2-93B8-4BFE-8777-B7FE7E1228D4}"/>
    <dataValidation allowBlank="1" showInputMessage="1" showErrorMessage="1" prompt="Enter your Company Name in cell B2._x000a__x000a_Clear the table below and enter your own Forecast Input data. To manage the available options for the dropdowns, go to Lists Tab." sqref="A1" xr:uid="{43DF995A-23B9-44C1-BD9C-8327B645D64C}"/>
  </dataValidations>
  <printOptions horizontalCentered="1"/>
  <pageMargins left="0.25" right="0.25" top="0.75" bottom="0.75" header="0.3" footer="0.3"/>
  <pageSetup scale="62" fitToHeight="0" orientation="landscape" r:id="rId1"/>
  <drawing r:id="rId2"/>
  <tableParts count="1">
    <tablePart r:id="rId3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A62FFB-6981-4CD4-9831-53ADD6FEB221}">
  <sheetPr>
    <tabColor theme="3"/>
    <pageSetUpPr fitToPage="1"/>
  </sheetPr>
  <dimension ref="A1:N39"/>
  <sheetViews>
    <sheetView showGridLines="0" topLeftCell="E4" zoomScale="80" zoomScaleNormal="80" workbookViewId="0">
      <selection activeCell="G10" sqref="G10"/>
    </sheetView>
  </sheetViews>
  <sheetFormatPr defaultColWidth="9.85546875" defaultRowHeight="21" customHeight="1" x14ac:dyDescent="0.25"/>
  <cols>
    <col min="1" max="1" width="4.28515625" style="1" customWidth="1"/>
    <col min="2" max="2" width="38.7109375" style="32" bestFit="1" customWidth="1"/>
    <col min="3" max="3" width="90.28515625" style="32" bestFit="1" customWidth="1"/>
    <col min="4" max="4" width="102.42578125" style="32" bestFit="1" customWidth="1"/>
    <col min="5" max="5" width="103" style="32" bestFit="1" customWidth="1"/>
    <col min="6" max="6" width="85.140625" style="32" bestFit="1" customWidth="1"/>
    <col min="7" max="7" width="45.140625" style="33" bestFit="1" customWidth="1"/>
    <col min="8" max="8" width="74.42578125" style="33" bestFit="1" customWidth="1"/>
    <col min="9" max="9" width="38.7109375" style="32" bestFit="1" customWidth="1"/>
    <col min="10" max="10" width="34.28515625" style="34" bestFit="1" customWidth="1"/>
    <col min="11" max="11" width="25.5703125" style="34" bestFit="1" customWidth="1"/>
    <col min="12" max="12" width="26" style="35" bestFit="1" customWidth="1"/>
    <col min="13" max="13" width="20" style="35" bestFit="1" customWidth="1"/>
    <col min="14" max="14" width="2" style="1" bestFit="1" customWidth="1"/>
    <col min="15" max="16384" width="9.85546875" style="4"/>
  </cols>
  <sheetData>
    <row r="1" spans="1:14" ht="20.100000000000001" customHeight="1" x14ac:dyDescent="0.25">
      <c r="B1" s="1"/>
      <c r="C1" s="2"/>
      <c r="D1" s="2"/>
      <c r="E1" s="2"/>
      <c r="F1" s="2"/>
      <c r="G1" s="1"/>
      <c r="H1" s="1"/>
      <c r="I1" s="1"/>
      <c r="J1" s="1"/>
      <c r="K1" s="1"/>
      <c r="L1" s="3"/>
      <c r="M1" s="3"/>
      <c r="N1" s="1" t="s">
        <v>0</v>
      </c>
    </row>
    <row r="2" spans="1:14" s="10" customFormat="1" ht="30" customHeight="1" x14ac:dyDescent="0.35">
      <c r="A2" s="5"/>
      <c r="B2" s="6" t="s">
        <v>1</v>
      </c>
      <c r="C2" s="7"/>
      <c r="D2" s="7"/>
      <c r="E2" s="7"/>
      <c r="F2" s="7"/>
      <c r="G2" s="5"/>
      <c r="H2" s="5"/>
      <c r="I2" s="8"/>
      <c r="J2" s="8"/>
      <c r="K2" s="8"/>
      <c r="L2" s="9"/>
      <c r="M2" s="9"/>
      <c r="N2" s="5"/>
    </row>
    <row r="3" spans="1:14" s="15" customFormat="1" ht="80.099999999999994" customHeight="1" x14ac:dyDescent="1.05">
      <c r="A3" s="11"/>
      <c r="B3" s="38" t="s">
        <v>182</v>
      </c>
      <c r="C3" s="38"/>
      <c r="D3" s="38"/>
      <c r="E3" s="12"/>
      <c r="F3" s="12"/>
      <c r="G3" s="11"/>
      <c r="H3" s="11"/>
      <c r="I3" s="13"/>
      <c r="J3" s="13"/>
      <c r="K3" s="13"/>
      <c r="L3" s="14"/>
      <c r="M3" s="14"/>
      <c r="N3" s="11"/>
    </row>
    <row r="4" spans="1:14" s="10" customFormat="1" ht="32.1" customHeight="1" x14ac:dyDescent="0.25">
      <c r="A4" s="5"/>
      <c r="B4" s="16" t="s">
        <v>3</v>
      </c>
      <c r="C4" s="7"/>
      <c r="D4" s="7"/>
      <c r="E4" s="7"/>
      <c r="F4" s="7"/>
      <c r="G4" s="5"/>
      <c r="H4" s="5"/>
      <c r="I4" s="8"/>
      <c r="J4" s="8"/>
      <c r="K4" s="8"/>
      <c r="L4" s="9"/>
      <c r="M4" s="9"/>
      <c r="N4" s="5"/>
    </row>
    <row r="5" spans="1:14" ht="24" customHeight="1" x14ac:dyDescent="0.25">
      <c r="B5" s="17"/>
      <c r="C5" s="18"/>
      <c r="D5" s="18"/>
      <c r="E5" s="18"/>
      <c r="F5" s="18"/>
      <c r="G5" s="19"/>
      <c r="H5" s="19"/>
      <c r="I5" s="19"/>
      <c r="J5" s="19"/>
      <c r="K5" s="19"/>
      <c r="L5" s="20"/>
      <c r="M5" s="21"/>
    </row>
    <row r="6" spans="1:14" s="26" customFormat="1" ht="60" customHeight="1" x14ac:dyDescent="0.3">
      <c r="A6" s="22"/>
      <c r="B6" s="23" t="s">
        <v>4</v>
      </c>
      <c r="C6" s="23" t="s">
        <v>5</v>
      </c>
      <c r="D6" s="23" t="s">
        <v>6</v>
      </c>
      <c r="E6" s="23" t="s">
        <v>7</v>
      </c>
      <c r="F6" s="23" t="s">
        <v>8</v>
      </c>
      <c r="G6" s="23" t="s">
        <v>9</v>
      </c>
      <c r="H6" s="23" t="s">
        <v>440</v>
      </c>
      <c r="I6" s="23" t="s">
        <v>10</v>
      </c>
      <c r="J6" s="24" t="s">
        <v>11</v>
      </c>
      <c r="K6" s="24" t="s">
        <v>12</v>
      </c>
      <c r="L6" s="25" t="s">
        <v>13</v>
      </c>
      <c r="M6" s="25" t="s">
        <v>14</v>
      </c>
      <c r="N6" s="22"/>
    </row>
    <row r="7" spans="1:14" ht="24" customHeight="1" x14ac:dyDescent="0.25">
      <c r="B7" s="27" t="s">
        <v>185</v>
      </c>
      <c r="C7" s="27" t="s">
        <v>661</v>
      </c>
      <c r="D7" s="27" t="s">
        <v>662</v>
      </c>
      <c r="E7" s="27" t="s">
        <v>212</v>
      </c>
      <c r="F7" s="27" t="s">
        <v>708</v>
      </c>
      <c r="G7" s="28">
        <v>35000</v>
      </c>
      <c r="H7" s="43" t="s">
        <v>716</v>
      </c>
      <c r="I7" s="29"/>
      <c r="J7" s="43"/>
      <c r="K7" s="31"/>
      <c r="L7" s="31"/>
      <c r="M7" s="31"/>
    </row>
    <row r="8" spans="1:14" ht="24" customHeight="1" x14ac:dyDescent="0.25">
      <c r="B8" s="27" t="s">
        <v>186</v>
      </c>
      <c r="C8" s="27" t="s">
        <v>663</v>
      </c>
      <c r="D8" s="27" t="s">
        <v>664</v>
      </c>
      <c r="E8" s="27" t="s">
        <v>213</v>
      </c>
      <c r="F8" s="39"/>
      <c r="G8" s="28">
        <v>10000</v>
      </c>
      <c r="H8" s="43" t="s">
        <v>717</v>
      </c>
      <c r="I8" s="27"/>
      <c r="J8" s="43"/>
      <c r="K8" s="31"/>
      <c r="L8" s="31"/>
      <c r="M8" s="31"/>
    </row>
    <row r="9" spans="1:14" ht="24" customHeight="1" x14ac:dyDescent="0.25">
      <c r="A9" s="46"/>
      <c r="B9" s="27" t="s">
        <v>844</v>
      </c>
      <c r="C9" s="27" t="s">
        <v>834</v>
      </c>
      <c r="D9" s="27" t="s">
        <v>835</v>
      </c>
      <c r="E9" s="27" t="s">
        <v>222</v>
      </c>
      <c r="F9" s="31" t="s">
        <v>842</v>
      </c>
      <c r="G9" s="28">
        <v>25000</v>
      </c>
      <c r="H9" s="29" t="s">
        <v>840</v>
      </c>
      <c r="I9" s="32" t="s">
        <v>837</v>
      </c>
      <c r="J9" s="30" t="s">
        <v>838</v>
      </c>
      <c r="K9" s="31" t="s">
        <v>841</v>
      </c>
      <c r="L9" s="31" t="s">
        <v>371</v>
      </c>
      <c r="M9" s="31" t="s">
        <v>17</v>
      </c>
    </row>
    <row r="10" spans="1:14" ht="24" customHeight="1" x14ac:dyDescent="0.25">
      <c r="B10" s="27" t="s">
        <v>187</v>
      </c>
      <c r="C10" s="27" t="s">
        <v>665</v>
      </c>
      <c r="D10" s="27" t="s">
        <v>666</v>
      </c>
      <c r="E10" s="27" t="s">
        <v>214</v>
      </c>
      <c r="F10" s="27"/>
      <c r="G10" s="28">
        <v>40000</v>
      </c>
      <c r="H10" s="43" t="s">
        <v>718</v>
      </c>
      <c r="I10" s="27"/>
      <c r="J10" s="43"/>
      <c r="K10" s="31"/>
      <c r="L10" s="31"/>
      <c r="M10" s="31"/>
    </row>
    <row r="11" spans="1:14" ht="24" customHeight="1" x14ac:dyDescent="0.25">
      <c r="B11" s="27" t="s">
        <v>188</v>
      </c>
      <c r="C11" s="27" t="s">
        <v>667</v>
      </c>
      <c r="D11" s="27" t="s">
        <v>668</v>
      </c>
      <c r="E11" s="27" t="s">
        <v>215</v>
      </c>
      <c r="F11" s="31" t="s">
        <v>843</v>
      </c>
      <c r="G11" s="28">
        <v>60000</v>
      </c>
      <c r="H11" s="43" t="s">
        <v>719</v>
      </c>
      <c r="I11" s="27"/>
      <c r="J11" s="43"/>
      <c r="K11" s="31"/>
      <c r="L11" s="31"/>
      <c r="M11" s="31"/>
    </row>
    <row r="12" spans="1:14" ht="24" customHeight="1" x14ac:dyDescent="0.25">
      <c r="B12" s="27" t="s">
        <v>189</v>
      </c>
      <c r="C12" s="27" t="s">
        <v>669</v>
      </c>
      <c r="D12" s="27" t="s">
        <v>704</v>
      </c>
      <c r="E12" s="27" t="s">
        <v>216</v>
      </c>
      <c r="F12"/>
      <c r="G12" s="28">
        <v>30000</v>
      </c>
      <c r="H12" s="43"/>
      <c r="I12" s="27"/>
      <c r="J12" s="43"/>
      <c r="K12" s="31"/>
      <c r="L12" s="31"/>
      <c r="M12" s="31"/>
    </row>
    <row r="13" spans="1:14" ht="24" customHeight="1" x14ac:dyDescent="0.25">
      <c r="B13" s="27" t="s">
        <v>190</v>
      </c>
      <c r="C13" s="27" t="s">
        <v>670</v>
      </c>
      <c r="D13" s="27" t="s">
        <v>705</v>
      </c>
      <c r="E13" s="27" t="s">
        <v>217</v>
      </c>
      <c r="F13"/>
      <c r="G13" s="28"/>
      <c r="H13" s="43"/>
      <c r="I13" s="27"/>
      <c r="J13" s="30"/>
      <c r="K13" s="31"/>
      <c r="L13" s="31"/>
      <c r="M13" s="31"/>
    </row>
    <row r="14" spans="1:14" ht="24" customHeight="1" x14ac:dyDescent="0.25">
      <c r="B14" s="27" t="s">
        <v>191</v>
      </c>
      <c r="C14" s="27" t="s">
        <v>671</v>
      </c>
      <c r="D14" s="27"/>
      <c r="E14" s="27" t="s">
        <v>218</v>
      </c>
      <c r="F14"/>
      <c r="G14" s="28">
        <v>40000</v>
      </c>
      <c r="H14" s="43"/>
      <c r="I14" s="27"/>
      <c r="J14" s="43"/>
      <c r="K14" s="31"/>
      <c r="L14" s="31"/>
      <c r="M14" s="31"/>
    </row>
    <row r="15" spans="1:14" ht="24" customHeight="1" x14ac:dyDescent="0.25">
      <c r="B15" s="27" t="s">
        <v>192</v>
      </c>
      <c r="C15" s="27" t="s">
        <v>672</v>
      </c>
      <c r="D15" s="27" t="s">
        <v>673</v>
      </c>
      <c r="E15" s="27" t="s">
        <v>219</v>
      </c>
      <c r="F15" s="27" t="s">
        <v>709</v>
      </c>
      <c r="G15" s="28">
        <v>80000</v>
      </c>
      <c r="H15" s="43" t="s">
        <v>720</v>
      </c>
      <c r="I15" s="27"/>
      <c r="J15" s="43"/>
      <c r="K15" s="31"/>
      <c r="L15" s="31"/>
      <c r="M15" s="31"/>
    </row>
    <row r="16" spans="1:14" ht="24" customHeight="1" x14ac:dyDescent="0.25">
      <c r="B16" s="27" t="s">
        <v>193</v>
      </c>
      <c r="C16" s="27" t="s">
        <v>674</v>
      </c>
      <c r="D16" s="27"/>
      <c r="E16" s="27" t="s">
        <v>214</v>
      </c>
      <c r="F16" s="27"/>
      <c r="G16" s="28">
        <v>30000</v>
      </c>
      <c r="H16" s="43"/>
      <c r="I16" s="27"/>
      <c r="J16" s="43"/>
      <c r="K16" s="31"/>
      <c r="L16" s="31"/>
      <c r="M16" s="31"/>
    </row>
    <row r="17" spans="2:13" ht="24" customHeight="1" x14ac:dyDescent="0.25">
      <c r="B17" s="27" t="s">
        <v>194</v>
      </c>
      <c r="C17" s="27" t="s">
        <v>675</v>
      </c>
      <c r="D17" s="27" t="s">
        <v>676</v>
      </c>
      <c r="E17" s="27" t="s">
        <v>220</v>
      </c>
      <c r="F17" s="27"/>
      <c r="G17" s="28">
        <v>35000</v>
      </c>
      <c r="H17" s="43" t="s">
        <v>646</v>
      </c>
      <c r="I17" s="27"/>
      <c r="J17" s="43"/>
      <c r="K17" s="31"/>
      <c r="L17" s="31"/>
      <c r="M17" s="31"/>
    </row>
    <row r="18" spans="2:13" ht="24" customHeight="1" x14ac:dyDescent="0.25">
      <c r="B18" s="27" t="s">
        <v>195</v>
      </c>
      <c r="C18" s="27" t="s">
        <v>677</v>
      </c>
      <c r="D18" s="27" t="s">
        <v>706</v>
      </c>
      <c r="E18" s="27" t="s">
        <v>221</v>
      </c>
      <c r="F18" s="27"/>
      <c r="G18" s="28">
        <v>40000</v>
      </c>
      <c r="H18" s="43"/>
      <c r="I18" s="27"/>
      <c r="J18" s="43"/>
      <c r="K18" s="31"/>
      <c r="L18" s="31"/>
      <c r="M18" s="31"/>
    </row>
    <row r="19" spans="2:13" ht="24" customHeight="1" x14ac:dyDescent="0.25">
      <c r="B19" s="27" t="s">
        <v>196</v>
      </c>
      <c r="C19" s="27" t="s">
        <v>678</v>
      </c>
      <c r="D19" s="27" t="s">
        <v>679</v>
      </c>
      <c r="E19" s="27" t="s">
        <v>223</v>
      </c>
      <c r="F19" s="27" t="s">
        <v>710</v>
      </c>
      <c r="G19" s="28">
        <v>50000</v>
      </c>
      <c r="H19" s="43" t="s">
        <v>721</v>
      </c>
      <c r="I19" s="27"/>
      <c r="J19" s="43"/>
      <c r="K19" s="31"/>
      <c r="L19" s="31"/>
      <c r="M19" s="31"/>
    </row>
    <row r="20" spans="2:13" ht="24" customHeight="1" x14ac:dyDescent="0.25">
      <c r="B20" s="27" t="s">
        <v>197</v>
      </c>
      <c r="C20" s="27" t="s">
        <v>680</v>
      </c>
      <c r="D20" s="27" t="s">
        <v>681</v>
      </c>
      <c r="E20" s="27" t="s">
        <v>224</v>
      </c>
      <c r="F20" s="27" t="s">
        <v>711</v>
      </c>
      <c r="G20" s="28">
        <v>18000</v>
      </c>
      <c r="H20" s="43" t="s">
        <v>722</v>
      </c>
      <c r="I20" s="27"/>
      <c r="J20" s="43"/>
      <c r="K20" s="31"/>
      <c r="L20" s="31"/>
      <c r="M20" s="31"/>
    </row>
    <row r="21" spans="2:13" ht="24" customHeight="1" x14ac:dyDescent="0.25">
      <c r="B21" s="27" t="s">
        <v>198</v>
      </c>
      <c r="C21" s="27" t="s">
        <v>682</v>
      </c>
      <c r="D21" s="27" t="s">
        <v>683</v>
      </c>
      <c r="E21" s="27" t="s">
        <v>225</v>
      </c>
      <c r="F21" s="27" t="s">
        <v>712</v>
      </c>
      <c r="G21" s="28">
        <v>18000</v>
      </c>
      <c r="H21" s="43" t="s">
        <v>723</v>
      </c>
      <c r="I21" s="27"/>
      <c r="J21" s="43"/>
      <c r="K21" s="31"/>
      <c r="L21" s="31"/>
      <c r="M21" s="31"/>
    </row>
    <row r="22" spans="2:13" ht="24" customHeight="1" x14ac:dyDescent="0.25">
      <c r="B22" s="27" t="s">
        <v>199</v>
      </c>
      <c r="C22" s="27" t="s">
        <v>542</v>
      </c>
      <c r="D22" s="27" t="s">
        <v>707</v>
      </c>
      <c r="E22" s="27" t="s">
        <v>226</v>
      </c>
      <c r="F22" s="27"/>
      <c r="G22" s="28">
        <v>30000</v>
      </c>
      <c r="H22" s="43"/>
      <c r="I22" s="27"/>
      <c r="J22" s="43"/>
      <c r="K22" s="31"/>
      <c r="L22" s="31"/>
      <c r="M22" s="31"/>
    </row>
    <row r="23" spans="2:13" ht="24" customHeight="1" x14ac:dyDescent="0.25">
      <c r="B23" s="27" t="s">
        <v>200</v>
      </c>
      <c r="C23" s="27" t="s">
        <v>684</v>
      </c>
      <c r="D23" s="27" t="s">
        <v>685</v>
      </c>
      <c r="E23" s="27" t="s">
        <v>227</v>
      </c>
      <c r="F23" s="27"/>
      <c r="G23" s="28">
        <v>25000</v>
      </c>
      <c r="H23" s="43" t="s">
        <v>724</v>
      </c>
      <c r="I23" s="27"/>
      <c r="J23" s="43"/>
      <c r="K23" s="31"/>
      <c r="L23" s="31"/>
      <c r="M23" s="31"/>
    </row>
    <row r="24" spans="2:13" ht="24" customHeight="1" x14ac:dyDescent="0.25">
      <c r="B24" s="27" t="s">
        <v>201</v>
      </c>
      <c r="C24" s="27" t="s">
        <v>686</v>
      </c>
      <c r="D24" s="27" t="s">
        <v>687</v>
      </c>
      <c r="E24" s="27" t="s">
        <v>228</v>
      </c>
      <c r="F24" s="27"/>
      <c r="G24" s="28">
        <v>25000</v>
      </c>
      <c r="H24" s="43"/>
      <c r="I24" s="27"/>
      <c r="J24" s="43"/>
      <c r="K24" s="31"/>
      <c r="L24" s="31"/>
      <c r="M24" s="31"/>
    </row>
    <row r="25" spans="2:13" ht="24" customHeight="1" x14ac:dyDescent="0.25">
      <c r="B25" s="27" t="s">
        <v>202</v>
      </c>
      <c r="C25" s="27" t="s">
        <v>688</v>
      </c>
      <c r="D25" s="27" t="s">
        <v>689</v>
      </c>
      <c r="E25" s="27" t="s">
        <v>228</v>
      </c>
      <c r="F25" s="27"/>
      <c r="G25" s="28">
        <v>18000</v>
      </c>
      <c r="H25" s="43"/>
      <c r="I25" s="27"/>
      <c r="J25" s="43"/>
      <c r="K25" s="31"/>
      <c r="L25" s="31"/>
      <c r="M25" s="31"/>
    </row>
    <row r="26" spans="2:13" ht="24" customHeight="1" x14ac:dyDescent="0.25">
      <c r="B26" s="27" t="s">
        <v>203</v>
      </c>
      <c r="C26" s="27" t="s">
        <v>690</v>
      </c>
      <c r="D26" s="27" t="s">
        <v>691</v>
      </c>
      <c r="E26" s="27" t="s">
        <v>228</v>
      </c>
      <c r="F26" s="27"/>
      <c r="G26" s="28">
        <v>22000</v>
      </c>
      <c r="H26" s="43"/>
      <c r="I26" s="27"/>
      <c r="J26" s="43"/>
      <c r="K26" s="31"/>
      <c r="L26" s="31"/>
      <c r="M26" s="31"/>
    </row>
    <row r="27" spans="2:13" ht="24" customHeight="1" x14ac:dyDescent="0.25">
      <c r="B27" s="27" t="s">
        <v>204</v>
      </c>
      <c r="C27" s="27" t="s">
        <v>692</v>
      </c>
      <c r="D27" s="27" t="s">
        <v>693</v>
      </c>
      <c r="E27" s="27" t="s">
        <v>229</v>
      </c>
      <c r="F27" s="27" t="s">
        <v>713</v>
      </c>
      <c r="G27" s="28">
        <v>15000</v>
      </c>
      <c r="H27" s="43" t="s">
        <v>725</v>
      </c>
      <c r="I27" s="27"/>
      <c r="J27" s="43"/>
      <c r="K27" s="31"/>
      <c r="L27" s="31"/>
      <c r="M27" s="31"/>
    </row>
    <row r="28" spans="2:13" ht="24" customHeight="1" x14ac:dyDescent="0.25">
      <c r="B28" s="27" t="s">
        <v>205</v>
      </c>
      <c r="C28" s="27" t="s">
        <v>694</v>
      </c>
      <c r="D28" s="27" t="s">
        <v>695</v>
      </c>
      <c r="E28" s="27" t="s">
        <v>222</v>
      </c>
      <c r="F28" s="27"/>
      <c r="G28" s="28">
        <v>25000</v>
      </c>
      <c r="H28" s="43" t="s">
        <v>726</v>
      </c>
      <c r="I28" s="27"/>
      <c r="J28" s="43"/>
      <c r="K28" s="31"/>
      <c r="L28" s="31"/>
      <c r="M28" s="31"/>
    </row>
    <row r="29" spans="2:13" ht="24" customHeight="1" x14ac:dyDescent="0.25">
      <c r="B29" s="27" t="s">
        <v>206</v>
      </c>
      <c r="C29" s="27" t="s">
        <v>696</v>
      </c>
      <c r="D29" s="27"/>
      <c r="E29" s="27" t="s">
        <v>230</v>
      </c>
      <c r="F29" s="27"/>
      <c r="G29" s="28">
        <v>25000</v>
      </c>
      <c r="H29" s="43"/>
      <c r="I29" s="27"/>
      <c r="J29" s="43"/>
      <c r="K29" s="31"/>
      <c r="L29" s="31"/>
      <c r="M29" s="31"/>
    </row>
    <row r="30" spans="2:13" ht="24" customHeight="1" x14ac:dyDescent="0.25">
      <c r="B30" s="27" t="s">
        <v>207</v>
      </c>
      <c r="C30" s="27" t="s">
        <v>697</v>
      </c>
      <c r="D30" s="27"/>
      <c r="E30" s="32" t="s">
        <v>231</v>
      </c>
      <c r="F30" s="27"/>
      <c r="G30" s="28">
        <v>22000</v>
      </c>
      <c r="H30" s="43"/>
      <c r="I30" s="27"/>
      <c r="J30" s="43"/>
      <c r="K30" s="31"/>
      <c r="L30" s="31"/>
      <c r="M30" s="31"/>
    </row>
    <row r="31" spans="2:13" ht="24" customHeight="1" x14ac:dyDescent="0.25">
      <c r="B31" s="27" t="s">
        <v>208</v>
      </c>
      <c r="C31" s="27" t="s">
        <v>698</v>
      </c>
      <c r="D31" s="27" t="s">
        <v>699</v>
      </c>
      <c r="E31" s="32" t="s">
        <v>232</v>
      </c>
      <c r="F31" s="27"/>
      <c r="G31" s="28">
        <v>30000</v>
      </c>
      <c r="H31" s="43"/>
      <c r="I31" s="27"/>
      <c r="J31" s="43"/>
      <c r="K31" s="31"/>
      <c r="L31" s="31"/>
      <c r="M31" s="31"/>
    </row>
    <row r="32" spans="2:13" ht="24" customHeight="1" x14ac:dyDescent="0.25">
      <c r="B32" s="27" t="s">
        <v>209</v>
      </c>
      <c r="C32" s="27" t="s">
        <v>700</v>
      </c>
      <c r="D32" s="27"/>
      <c r="E32" s="27" t="s">
        <v>233</v>
      </c>
      <c r="F32" s="27"/>
      <c r="G32" s="28">
        <v>25000</v>
      </c>
      <c r="H32" s="43"/>
      <c r="I32" s="27"/>
      <c r="J32" s="43"/>
      <c r="K32" s="31"/>
      <c r="L32" s="31"/>
      <c r="M32" s="31"/>
    </row>
    <row r="33" spans="2:13" ht="24" customHeight="1" x14ac:dyDescent="0.25">
      <c r="B33" s="27" t="s">
        <v>210</v>
      </c>
      <c r="C33" s="27" t="s">
        <v>701</v>
      </c>
      <c r="D33" s="27" t="s">
        <v>702</v>
      </c>
      <c r="E33" s="27" t="s">
        <v>234</v>
      </c>
      <c r="F33" s="27" t="s">
        <v>714</v>
      </c>
      <c r="G33" s="28">
        <v>18000</v>
      </c>
      <c r="H33" s="43" t="s">
        <v>727</v>
      </c>
      <c r="I33" s="27"/>
      <c r="J33" s="43"/>
      <c r="K33" s="31"/>
      <c r="L33" s="31"/>
      <c r="M33" s="31"/>
    </row>
    <row r="34" spans="2:13" ht="24" customHeight="1" x14ac:dyDescent="0.25">
      <c r="B34" s="27" t="s">
        <v>211</v>
      </c>
      <c r="C34" s="27" t="s">
        <v>493</v>
      </c>
      <c r="D34" s="27" t="s">
        <v>703</v>
      </c>
      <c r="E34" s="27" t="s">
        <v>182</v>
      </c>
      <c r="F34" s="27" t="s">
        <v>715</v>
      </c>
      <c r="G34" s="28">
        <v>8000</v>
      </c>
      <c r="H34" s="43" t="s">
        <v>728</v>
      </c>
      <c r="I34" s="27"/>
      <c r="J34" s="43"/>
      <c r="K34" s="31"/>
      <c r="L34" s="31"/>
      <c r="M34" s="31"/>
    </row>
    <row r="35" spans="2:13" ht="24" customHeight="1" x14ac:dyDescent="0.25">
      <c r="B35" s="27"/>
      <c r="C35" s="27"/>
      <c r="D35" s="27"/>
      <c r="E35" s="27"/>
      <c r="F35" s="27"/>
      <c r="G35" s="28"/>
      <c r="H35" s="43"/>
      <c r="I35" s="27"/>
      <c r="J35" s="30"/>
      <c r="K35" s="31"/>
      <c r="L35" s="31"/>
      <c r="M35" s="31"/>
    </row>
    <row r="36" spans="2:13" ht="24" customHeight="1" x14ac:dyDescent="0.25">
      <c r="B36" s="27"/>
      <c r="C36" s="27"/>
      <c r="D36" s="27"/>
      <c r="E36" s="27"/>
      <c r="F36" s="27"/>
      <c r="G36" s="28"/>
      <c r="H36" s="43"/>
      <c r="I36" s="27"/>
      <c r="J36" s="30"/>
      <c r="K36" s="31"/>
      <c r="L36" s="31"/>
      <c r="M36" s="31"/>
    </row>
    <row r="37" spans="2:13" ht="24" customHeight="1" x14ac:dyDescent="0.25">
      <c r="B37" s="27"/>
      <c r="C37" s="27"/>
      <c r="D37" s="27"/>
      <c r="E37" s="27"/>
      <c r="F37" s="27"/>
      <c r="G37" s="28"/>
      <c r="H37" s="43"/>
      <c r="I37" s="27"/>
      <c r="J37" s="30"/>
      <c r="K37" s="31"/>
      <c r="L37" s="31"/>
      <c r="M37" s="31"/>
    </row>
    <row r="38" spans="2:13" ht="24" customHeight="1" x14ac:dyDescent="0.25">
      <c r="B38" s="27"/>
      <c r="C38" s="27"/>
      <c r="D38" s="27"/>
      <c r="E38" s="27"/>
      <c r="F38" s="27"/>
      <c r="G38" s="28"/>
      <c r="H38" s="43"/>
      <c r="I38" s="27"/>
      <c r="J38" s="30"/>
      <c r="K38" s="31"/>
      <c r="L38" s="31"/>
      <c r="M38" s="31"/>
    </row>
    <row r="39" spans="2:13" ht="21" customHeight="1" x14ac:dyDescent="0.25">
      <c r="K39" s="35"/>
    </row>
  </sheetData>
  <sheetProtection selectLockedCells="1" selectUnlockedCells="1"/>
  <mergeCells count="1">
    <mergeCell ref="B3:D3"/>
  </mergeCells>
  <dataValidations count="12">
    <dataValidation allowBlank="1" showInputMessage="1" showErrorMessage="1" prompt="Enter your Company Name in cell B2._x000a__x000a_Clear the table below and enter your own Forecast Input data. To manage the available options for the dropdowns, go to Lists Tab." sqref="A1" xr:uid="{A130206D-53AC-4C1D-BD2C-6B4CECF4FE95}"/>
    <dataValidation allowBlank="1" showInputMessage="1" showErrorMessage="1" prompt="Enter your Company Name in this cell" sqref="B2" xr:uid="{BD398B6B-2C6A-414F-BDEE-2426E4C73E2E}"/>
    <dataValidation allowBlank="1" showInputMessage="1" showErrorMessage="1" prompt="Title of sheet is in this cell" sqref="B3" xr:uid="{98F5C1DF-B3A5-4D76-BBAA-C182C455918E}"/>
    <dataValidation allowBlank="1" showInputMessage="1" showErrorMessage="1" prompt="Enter Opportunity name in this column under this heading" sqref="B6" xr:uid="{A3FAF942-E91C-4758-8BE9-082BCEA1873C}"/>
    <dataValidation allowBlank="1" showInputMessage="1" showErrorMessage="1" prompt="Select the Sales agent from the dropdown list in each cell in this column. Options are defined in the Lists worksheet. Press ALT+DOWN ARROW to navigate the list, then ENTER to make a selection" sqref="C6" xr:uid="{3D63A862-70AA-49A3-8137-68A3F6804323}"/>
    <dataValidation allowBlank="1" showInputMessage="1" showErrorMessage="1" prompt="Select the Sales region from the dropdown list in each cell in this column. Options are defined in the Lists worksheet. Press ALT+DOWN ARROW to navigate the list, then ENTER to make a selection" sqref="D6" xr:uid="{C8AC0A62-A65E-4CD5-B90B-636A16B3A0C5}"/>
    <dataValidation allowBlank="1" showInputMessage="1" showErrorMessage="1" prompt="Select the Sales category from the dropdown list in each cell in this column. Options are defined in the Lists worksheet. Press ALT+DOWN ARROW to navigate the list, then ENTER to make a selection" sqref="E6:F6" xr:uid="{FFFCDC0D-0079-40FE-AA4C-169B651F16BB}"/>
    <dataValidation allowBlank="1" showInputMessage="1" showErrorMessage="1" prompt="Enter Forecast amount in this column under this heading" sqref="G6:H6" xr:uid="{D2FB0071-D4FD-403D-A95D-2CFD836686BA}"/>
    <dataValidation allowBlank="1" showInputMessage="1" showErrorMessage="1" prompt="Select the Sales phase from the dropdown list in each cell in this column. Options are defined in the Lists worksheet. Press ALT+DOWN ARROW to navigate the list, then ENTER to make a selection" sqref="I6" xr:uid="{3E329E34-EF92-429D-A1FC-C56C4ACE0E9E}"/>
    <dataValidation allowBlank="1" showInputMessage="1" showErrorMessage="1" prompt="Enter Probability of sale in this column under this heading" sqref="J6:K6" xr:uid="{B1D6BC42-1F11-402D-80A9-2EFF417E22F5}"/>
    <dataValidation allowBlank="1" showInputMessage="1" showErrorMessage="1" prompt="Enter Forecast close in this column under this heading" sqref="L6" xr:uid="{E9022D57-60FA-4D14-84BF-B639043EE83F}"/>
    <dataValidation allowBlank="1" showInputMessage="1" showErrorMessage="1" prompt="Weighted forecast is automatically calculated in this column" sqref="M6" xr:uid="{3C1ED7E2-1101-4D39-B297-D72880C53324}"/>
  </dataValidations>
  <printOptions horizontalCentered="1"/>
  <pageMargins left="0.25" right="0.25" top="0.75" bottom="0.75" header="0.3" footer="0.3"/>
  <pageSetup scale="62" fitToHeight="0" orientation="landscape" r:id="rId1"/>
  <drawing r:id="rId2"/>
  <tableParts count="1">
    <tablePart r:id="rId3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E5A435-B219-492B-859F-89266719668C}">
  <sheetPr>
    <tabColor theme="3"/>
    <pageSetUpPr fitToPage="1"/>
  </sheetPr>
  <dimension ref="A1:M39"/>
  <sheetViews>
    <sheetView showGridLines="0" topLeftCell="F1" zoomScale="80" zoomScaleNormal="80" workbookViewId="0">
      <selection activeCell="H9" sqref="H9"/>
    </sheetView>
  </sheetViews>
  <sheetFormatPr defaultColWidth="9.85546875" defaultRowHeight="21" customHeight="1" x14ac:dyDescent="0.25"/>
  <cols>
    <col min="1" max="1" width="4.28515625" style="1" customWidth="1"/>
    <col min="2" max="2" width="38.7109375" style="32" bestFit="1" customWidth="1"/>
    <col min="3" max="3" width="40.140625" style="32" bestFit="1" customWidth="1"/>
    <col min="4" max="4" width="43.85546875" style="32" customWidth="1"/>
    <col min="5" max="5" width="65.5703125" style="32" bestFit="1" customWidth="1"/>
    <col min="6" max="6" width="41.7109375" style="32" bestFit="1" customWidth="1"/>
    <col min="7" max="7" width="34.42578125" style="33" bestFit="1" customWidth="1"/>
    <col min="8" max="8" width="38.7109375" style="32" bestFit="1" customWidth="1"/>
    <col min="9" max="9" width="34.28515625" style="34" bestFit="1" customWidth="1"/>
    <col min="10" max="10" width="25.5703125" style="34" bestFit="1" customWidth="1"/>
    <col min="11" max="11" width="26" style="35" bestFit="1" customWidth="1"/>
    <col min="12" max="12" width="20" style="35" bestFit="1" customWidth="1"/>
    <col min="13" max="13" width="2" style="1" bestFit="1" customWidth="1"/>
    <col min="14" max="16384" width="9.85546875" style="4"/>
  </cols>
  <sheetData>
    <row r="1" spans="1:13" ht="20.100000000000001" customHeight="1" x14ac:dyDescent="0.25">
      <c r="B1" s="1"/>
      <c r="C1" s="2"/>
      <c r="D1" s="2"/>
      <c r="E1" s="2"/>
      <c r="F1" s="2"/>
      <c r="G1" s="1"/>
      <c r="H1" s="1"/>
      <c r="I1" s="1"/>
      <c r="J1" s="1"/>
      <c r="K1" s="3"/>
      <c r="L1" s="3"/>
      <c r="M1" s="1" t="s">
        <v>0</v>
      </c>
    </row>
    <row r="2" spans="1:13" s="10" customFormat="1" ht="30" customHeight="1" x14ac:dyDescent="0.35">
      <c r="A2" s="5"/>
      <c r="B2" s="6" t="s">
        <v>1</v>
      </c>
      <c r="C2" s="7"/>
      <c r="D2" s="7"/>
      <c r="E2" s="7"/>
      <c r="F2" s="7"/>
      <c r="G2" s="5"/>
      <c r="H2" s="8"/>
      <c r="I2" s="8"/>
      <c r="J2" s="8"/>
      <c r="K2" s="9"/>
      <c r="L2" s="9"/>
      <c r="M2" s="5"/>
    </row>
    <row r="3" spans="1:13" s="15" customFormat="1" ht="80.099999999999994" customHeight="1" x14ac:dyDescent="1.05">
      <c r="A3" s="11"/>
      <c r="B3" s="38" t="s">
        <v>181</v>
      </c>
      <c r="C3" s="38"/>
      <c r="D3" s="38"/>
      <c r="E3" s="12"/>
      <c r="F3" s="12"/>
      <c r="G3" s="11"/>
      <c r="H3" s="13"/>
      <c r="I3" s="13"/>
      <c r="J3" s="13"/>
      <c r="K3" s="14"/>
      <c r="L3" s="14"/>
      <c r="M3" s="11"/>
    </row>
    <row r="4" spans="1:13" s="10" customFormat="1" ht="32.1" customHeight="1" x14ac:dyDescent="0.25">
      <c r="A4" s="5"/>
      <c r="B4" s="16" t="s">
        <v>3</v>
      </c>
      <c r="C4" s="7"/>
      <c r="D4" s="7"/>
      <c r="E4" s="7"/>
      <c r="F4" s="7"/>
      <c r="G4" s="5"/>
      <c r="H4" s="8"/>
      <c r="I4" s="8"/>
      <c r="J4" s="8"/>
      <c r="K4" s="9"/>
      <c r="L4" s="9"/>
      <c r="M4" s="5"/>
    </row>
    <row r="5" spans="1:13" ht="24" customHeight="1" x14ac:dyDescent="0.25">
      <c r="B5" s="17"/>
      <c r="C5" s="18"/>
      <c r="D5" s="18"/>
      <c r="E5" s="18"/>
      <c r="F5" s="18"/>
      <c r="G5" s="19"/>
      <c r="H5" s="19"/>
      <c r="I5" s="19"/>
      <c r="J5" s="19"/>
      <c r="K5" s="20"/>
      <c r="L5" s="21"/>
    </row>
    <row r="6" spans="1:13" s="26" customFormat="1" ht="60" customHeight="1" x14ac:dyDescent="0.3">
      <c r="A6" s="22"/>
      <c r="B6" s="23" t="s">
        <v>4</v>
      </c>
      <c r="C6" s="23" t="s">
        <v>5</v>
      </c>
      <c r="D6" s="23" t="s">
        <v>6</v>
      </c>
      <c r="E6" s="23" t="s">
        <v>7</v>
      </c>
      <c r="F6" s="23" t="s">
        <v>8</v>
      </c>
      <c r="G6" s="23" t="s">
        <v>9</v>
      </c>
      <c r="H6" s="23" t="s">
        <v>10</v>
      </c>
      <c r="I6" s="24" t="s">
        <v>11</v>
      </c>
      <c r="J6" s="24" t="s">
        <v>12</v>
      </c>
      <c r="K6" s="25" t="s">
        <v>13</v>
      </c>
      <c r="L6" s="25" t="s">
        <v>14</v>
      </c>
      <c r="M6" s="22"/>
    </row>
    <row r="7" spans="1:13" ht="24" customHeight="1" x14ac:dyDescent="0.25">
      <c r="B7" s="27" t="s">
        <v>146</v>
      </c>
      <c r="C7" s="27" t="s">
        <v>829</v>
      </c>
      <c r="D7" s="27"/>
      <c r="E7" s="27" t="s">
        <v>148</v>
      </c>
      <c r="F7" s="27" t="s">
        <v>832</v>
      </c>
      <c r="G7" s="28">
        <v>25000</v>
      </c>
      <c r="H7" s="29" t="s">
        <v>830</v>
      </c>
      <c r="I7" s="30" t="s">
        <v>831</v>
      </c>
      <c r="J7" s="31" t="s">
        <v>833</v>
      </c>
      <c r="K7" s="31" t="s">
        <v>371</v>
      </c>
      <c r="L7" s="31" t="s">
        <v>17</v>
      </c>
    </row>
    <row r="8" spans="1:13" ht="24" customHeight="1" x14ac:dyDescent="0.25">
      <c r="B8" s="27" t="s">
        <v>147</v>
      </c>
      <c r="C8" s="27" t="s">
        <v>834</v>
      </c>
      <c r="D8" s="27" t="s">
        <v>835</v>
      </c>
      <c r="E8" s="27" t="s">
        <v>149</v>
      </c>
      <c r="F8" s="31" t="s">
        <v>836</v>
      </c>
      <c r="G8" s="28">
        <v>20000</v>
      </c>
      <c r="H8" s="29" t="s">
        <v>837</v>
      </c>
      <c r="I8" s="30" t="s">
        <v>838</v>
      </c>
      <c r="J8" s="31" t="s">
        <v>839</v>
      </c>
      <c r="K8" s="31" t="s">
        <v>371</v>
      </c>
      <c r="L8" s="31" t="s">
        <v>17</v>
      </c>
    </row>
    <row r="9" spans="1:13" ht="24" customHeight="1" x14ac:dyDescent="0.25">
      <c r="B9" s="27"/>
      <c r="C9" s="27"/>
      <c r="D9" s="27"/>
      <c r="E9" s="27"/>
      <c r="F9" s="27"/>
      <c r="G9" s="28"/>
      <c r="H9" s="27"/>
      <c r="I9" s="30"/>
      <c r="J9" s="31"/>
      <c r="K9" s="31"/>
      <c r="L9" s="31"/>
    </row>
    <row r="10" spans="1:13" ht="24" customHeight="1" x14ac:dyDescent="0.25">
      <c r="B10" s="27"/>
      <c r="C10" s="27"/>
      <c r="D10" s="27"/>
      <c r="E10" s="27"/>
      <c r="F10"/>
      <c r="G10" s="28"/>
      <c r="H10" s="27"/>
      <c r="I10" s="30"/>
      <c r="J10" s="31"/>
      <c r="K10" s="31"/>
      <c r="L10" s="31"/>
    </row>
    <row r="11" spans="1:13" ht="24" customHeight="1" x14ac:dyDescent="0.25">
      <c r="B11" s="27"/>
      <c r="C11" s="27"/>
      <c r="D11" s="27"/>
      <c r="E11" s="27"/>
      <c r="F11"/>
      <c r="G11" s="28"/>
      <c r="H11" s="27"/>
      <c r="I11" s="30"/>
      <c r="J11" s="31"/>
      <c r="K11" s="31"/>
      <c r="L11" s="31"/>
    </row>
    <row r="12" spans="1:13" ht="24" customHeight="1" x14ac:dyDescent="0.25">
      <c r="B12" s="27"/>
      <c r="C12" s="27"/>
      <c r="D12" s="27"/>
      <c r="E12" s="27"/>
      <c r="F12"/>
      <c r="G12" s="28"/>
      <c r="H12" s="27"/>
      <c r="I12" s="30"/>
      <c r="J12" s="31"/>
      <c r="K12" s="31"/>
      <c r="L12" s="31"/>
    </row>
    <row r="13" spans="1:13" ht="24" customHeight="1" x14ac:dyDescent="0.25">
      <c r="B13" s="27"/>
      <c r="C13" s="27"/>
      <c r="D13" s="27"/>
      <c r="E13" s="27"/>
      <c r="F13"/>
      <c r="G13" s="28"/>
      <c r="H13" s="27"/>
      <c r="I13" s="30"/>
      <c r="J13" s="31"/>
      <c r="K13" s="31"/>
      <c r="L13" s="31"/>
    </row>
    <row r="14" spans="1:13" ht="24" customHeight="1" x14ac:dyDescent="0.25">
      <c r="B14" s="27"/>
      <c r="C14" s="27"/>
      <c r="D14" s="27"/>
      <c r="E14" s="27"/>
      <c r="F14" s="27"/>
      <c r="G14" s="28"/>
      <c r="H14" s="27"/>
      <c r="I14" s="30"/>
      <c r="J14" s="31"/>
      <c r="K14" s="31"/>
      <c r="L14" s="31"/>
    </row>
    <row r="15" spans="1:13" ht="24" customHeight="1" x14ac:dyDescent="0.25">
      <c r="B15" s="27"/>
      <c r="C15" s="27"/>
      <c r="D15" s="27"/>
      <c r="E15" s="27"/>
      <c r="F15" s="27"/>
      <c r="G15" s="28"/>
      <c r="H15" s="27"/>
      <c r="I15" s="30"/>
      <c r="J15" s="31"/>
      <c r="K15" s="31"/>
      <c r="L15" s="31"/>
    </row>
    <row r="16" spans="1:13" ht="24" customHeight="1" x14ac:dyDescent="0.25">
      <c r="B16" s="27"/>
      <c r="C16" s="27"/>
      <c r="D16" s="27"/>
      <c r="E16" s="27"/>
      <c r="F16" s="27"/>
      <c r="G16" s="28"/>
      <c r="H16" s="27"/>
      <c r="I16" s="30"/>
      <c r="J16" s="31"/>
      <c r="K16" s="31"/>
      <c r="L16" s="31"/>
    </row>
    <row r="17" spans="2:12" ht="24" customHeight="1" x14ac:dyDescent="0.25">
      <c r="B17" s="27"/>
      <c r="C17" s="27"/>
      <c r="D17" s="27"/>
      <c r="E17" s="27"/>
      <c r="F17" s="27"/>
      <c r="G17" s="28"/>
      <c r="H17" s="27"/>
      <c r="I17" s="30"/>
      <c r="J17" s="31"/>
      <c r="K17" s="31"/>
      <c r="L17" s="31"/>
    </row>
    <row r="18" spans="2:12" ht="24" customHeight="1" x14ac:dyDescent="0.25">
      <c r="B18" s="27"/>
      <c r="C18" s="27"/>
      <c r="D18" s="27"/>
      <c r="E18" s="27"/>
      <c r="F18" s="27"/>
      <c r="G18" s="28"/>
      <c r="H18" s="27"/>
      <c r="I18" s="30"/>
      <c r="J18" s="31"/>
      <c r="K18" s="31"/>
      <c r="L18" s="31"/>
    </row>
    <row r="19" spans="2:12" ht="24" customHeight="1" x14ac:dyDescent="0.25">
      <c r="B19" s="27"/>
      <c r="C19" s="27"/>
      <c r="D19" s="27"/>
      <c r="E19" s="27"/>
      <c r="F19" s="27"/>
      <c r="G19" s="28"/>
      <c r="H19" s="27"/>
      <c r="I19" s="30"/>
      <c r="J19" s="31"/>
      <c r="K19" s="31"/>
      <c r="L19" s="31"/>
    </row>
    <row r="20" spans="2:12" ht="24" customHeight="1" x14ac:dyDescent="0.25">
      <c r="B20" s="27"/>
      <c r="C20" s="27"/>
      <c r="D20" s="27"/>
      <c r="E20" s="27"/>
      <c r="F20" s="27"/>
      <c r="G20" s="28"/>
      <c r="H20" s="27"/>
      <c r="I20" s="30"/>
      <c r="J20" s="31"/>
      <c r="K20" s="31"/>
      <c r="L20" s="31"/>
    </row>
    <row r="21" spans="2:12" ht="24" customHeight="1" x14ac:dyDescent="0.25">
      <c r="B21" s="27"/>
      <c r="C21" s="27"/>
      <c r="D21" s="27"/>
      <c r="E21" s="27"/>
      <c r="F21" s="27"/>
      <c r="G21" s="28"/>
      <c r="H21" s="27"/>
      <c r="I21" s="30"/>
      <c r="J21" s="31"/>
      <c r="K21" s="31"/>
      <c r="L21" s="31"/>
    </row>
    <row r="22" spans="2:12" ht="24" customHeight="1" x14ac:dyDescent="0.25">
      <c r="B22" s="27"/>
      <c r="C22" s="27"/>
      <c r="D22" s="27"/>
      <c r="E22" s="27"/>
      <c r="F22" s="27"/>
      <c r="G22" s="28"/>
      <c r="H22" s="27"/>
      <c r="I22" s="30"/>
      <c r="J22" s="31"/>
      <c r="K22" s="31"/>
      <c r="L22" s="31"/>
    </row>
    <row r="23" spans="2:12" ht="24" customHeight="1" x14ac:dyDescent="0.25">
      <c r="B23" s="27"/>
      <c r="C23" s="27"/>
      <c r="D23" s="27"/>
      <c r="E23" s="27"/>
      <c r="F23" s="27"/>
      <c r="G23" s="28"/>
      <c r="H23" s="27"/>
      <c r="I23" s="30"/>
      <c r="J23" s="31"/>
      <c r="K23" s="31"/>
      <c r="L23" s="31"/>
    </row>
    <row r="24" spans="2:12" ht="24" customHeight="1" x14ac:dyDescent="0.25">
      <c r="B24" s="27"/>
      <c r="C24" s="27"/>
      <c r="D24" s="27"/>
      <c r="E24" s="27"/>
      <c r="F24" s="27"/>
      <c r="G24" s="28"/>
      <c r="H24" s="27"/>
      <c r="I24" s="30"/>
      <c r="J24" s="31"/>
      <c r="K24" s="31"/>
      <c r="L24" s="31"/>
    </row>
    <row r="25" spans="2:12" ht="24" customHeight="1" x14ac:dyDescent="0.25">
      <c r="B25" s="27"/>
      <c r="C25" s="27"/>
      <c r="D25" s="27"/>
      <c r="E25" s="27"/>
      <c r="F25" s="27"/>
      <c r="G25" s="28"/>
      <c r="H25" s="27"/>
      <c r="I25" s="30"/>
      <c r="J25" s="31"/>
      <c r="K25" s="31"/>
      <c r="L25" s="31"/>
    </row>
    <row r="26" spans="2:12" ht="24" customHeight="1" x14ac:dyDescent="0.25">
      <c r="B26" s="27"/>
      <c r="C26" s="27"/>
      <c r="D26" s="27"/>
      <c r="E26" s="27"/>
      <c r="F26" s="27"/>
      <c r="G26" s="28"/>
      <c r="H26" s="27"/>
      <c r="I26" s="30"/>
      <c r="J26" s="31"/>
      <c r="K26" s="31"/>
      <c r="L26" s="31"/>
    </row>
    <row r="27" spans="2:12" ht="24" customHeight="1" x14ac:dyDescent="0.25">
      <c r="B27" s="27"/>
      <c r="C27" s="27"/>
      <c r="D27" s="27"/>
      <c r="E27" s="27"/>
      <c r="F27" s="27"/>
      <c r="G27" s="28"/>
      <c r="H27" s="27"/>
      <c r="I27" s="30"/>
      <c r="J27" s="31"/>
      <c r="K27" s="31"/>
      <c r="L27" s="31"/>
    </row>
    <row r="28" spans="2:12" ht="24" customHeight="1" x14ac:dyDescent="0.25">
      <c r="B28" s="27"/>
      <c r="C28" s="27"/>
      <c r="D28" s="27"/>
      <c r="E28" s="27"/>
      <c r="F28" s="27"/>
      <c r="G28" s="28"/>
      <c r="H28" s="27"/>
      <c r="I28" s="30"/>
      <c r="J28" s="31"/>
      <c r="K28" s="31"/>
      <c r="L28" s="31"/>
    </row>
    <row r="29" spans="2:12" ht="24" customHeight="1" x14ac:dyDescent="0.25">
      <c r="B29" s="27"/>
      <c r="C29" s="27"/>
      <c r="D29" s="27"/>
      <c r="E29" s="27"/>
      <c r="F29" s="27"/>
      <c r="G29" s="28"/>
      <c r="H29" s="27"/>
      <c r="I29" s="30"/>
      <c r="J29" s="31"/>
      <c r="K29" s="31"/>
      <c r="L29" s="31"/>
    </row>
    <row r="30" spans="2:12" ht="24" customHeight="1" x14ac:dyDescent="0.25">
      <c r="B30" s="27"/>
      <c r="C30" s="27"/>
      <c r="D30" s="27"/>
      <c r="E30" s="27"/>
      <c r="F30" s="27"/>
      <c r="G30" s="28"/>
      <c r="H30" s="27"/>
      <c r="I30" s="30"/>
      <c r="J30" s="31"/>
      <c r="K30" s="31"/>
      <c r="L30" s="31"/>
    </row>
    <row r="31" spans="2:12" ht="24" customHeight="1" x14ac:dyDescent="0.25">
      <c r="B31" s="27"/>
      <c r="C31" s="27"/>
      <c r="D31" s="27"/>
      <c r="E31" s="27"/>
      <c r="F31" s="27"/>
      <c r="G31" s="28"/>
      <c r="H31" s="27"/>
      <c r="I31" s="30"/>
      <c r="J31" s="31"/>
      <c r="K31" s="31"/>
      <c r="L31" s="31"/>
    </row>
    <row r="32" spans="2:12" ht="24" customHeight="1" x14ac:dyDescent="0.25">
      <c r="B32" s="27"/>
      <c r="C32" s="27"/>
      <c r="D32" s="27"/>
      <c r="E32" s="27"/>
      <c r="F32" s="27"/>
      <c r="G32" s="28"/>
      <c r="H32" s="27"/>
      <c r="I32" s="30"/>
      <c r="J32" s="31"/>
      <c r="K32" s="31"/>
      <c r="L32" s="31"/>
    </row>
    <row r="33" spans="2:12" ht="24" customHeight="1" x14ac:dyDescent="0.25">
      <c r="B33" s="27"/>
      <c r="C33" s="27"/>
      <c r="D33" s="27"/>
      <c r="E33" s="27"/>
      <c r="F33" s="27"/>
      <c r="G33" s="28"/>
      <c r="H33" s="27"/>
      <c r="I33" s="30"/>
      <c r="J33" s="31"/>
      <c r="K33" s="31"/>
      <c r="L33" s="31"/>
    </row>
    <row r="34" spans="2:12" ht="24" customHeight="1" x14ac:dyDescent="0.25">
      <c r="B34" s="27"/>
      <c r="C34" s="27"/>
      <c r="D34" s="27"/>
      <c r="E34" s="27"/>
      <c r="F34" s="27"/>
      <c r="G34" s="28"/>
      <c r="H34" s="27"/>
      <c r="I34" s="30"/>
      <c r="J34" s="31"/>
      <c r="K34" s="31"/>
      <c r="L34" s="31"/>
    </row>
    <row r="35" spans="2:12" ht="24" customHeight="1" x14ac:dyDescent="0.25">
      <c r="B35" s="27"/>
      <c r="C35" s="27"/>
      <c r="D35" s="27"/>
      <c r="E35" s="27"/>
      <c r="F35" s="27"/>
      <c r="G35" s="28"/>
      <c r="H35" s="27"/>
      <c r="I35" s="30"/>
      <c r="J35" s="31"/>
      <c r="K35" s="31"/>
      <c r="L35" s="31"/>
    </row>
    <row r="36" spans="2:12" ht="24" customHeight="1" x14ac:dyDescent="0.25">
      <c r="B36" s="27"/>
      <c r="C36" s="27"/>
      <c r="D36" s="27"/>
      <c r="E36" s="27"/>
      <c r="F36" s="27"/>
      <c r="G36" s="28"/>
      <c r="H36" s="27"/>
      <c r="I36" s="30"/>
      <c r="J36" s="31"/>
      <c r="K36" s="31"/>
      <c r="L36" s="31"/>
    </row>
    <row r="37" spans="2:12" ht="24" customHeight="1" x14ac:dyDescent="0.25">
      <c r="B37" s="27"/>
      <c r="C37" s="27"/>
      <c r="D37" s="27"/>
      <c r="E37" s="27"/>
      <c r="F37" s="27"/>
      <c r="G37" s="28"/>
      <c r="H37" s="27"/>
      <c r="I37" s="30"/>
      <c r="J37" s="31"/>
      <c r="K37" s="31"/>
      <c r="L37" s="31"/>
    </row>
    <row r="38" spans="2:12" ht="24" customHeight="1" x14ac:dyDescent="0.25">
      <c r="B38" s="27"/>
      <c r="C38" s="27"/>
      <c r="D38" s="27"/>
      <c r="E38" s="27"/>
      <c r="F38" s="27"/>
      <c r="G38" s="28"/>
      <c r="H38" s="27"/>
      <c r="I38" s="30"/>
      <c r="J38" s="31"/>
      <c r="K38" s="31"/>
      <c r="L38" s="31"/>
    </row>
    <row r="39" spans="2:12" ht="21" customHeight="1" x14ac:dyDescent="0.25">
      <c r="J39" s="35"/>
    </row>
  </sheetData>
  <sheetProtection selectLockedCells="1" selectUnlockedCells="1"/>
  <mergeCells count="1">
    <mergeCell ref="B3:D3"/>
  </mergeCells>
  <dataValidations count="12">
    <dataValidation allowBlank="1" showInputMessage="1" showErrorMessage="1" prompt="Weighted forecast is automatically calculated in this column" sqref="L6" xr:uid="{4D97455B-EC40-45E3-90F4-8D75FC8289A4}"/>
    <dataValidation allowBlank="1" showInputMessage="1" showErrorMessage="1" prompt="Enter Forecast close in this column under this heading" sqref="K6" xr:uid="{6CE87AD5-6396-4B68-BEBA-835ADC64FBBD}"/>
    <dataValidation allowBlank="1" showInputMessage="1" showErrorMessage="1" prompt="Enter Probability of sale in this column under this heading" sqref="I6:J6" xr:uid="{93D4525C-E9E1-46C1-AD68-4FA0F64FC251}"/>
    <dataValidation allowBlank="1" showInputMessage="1" showErrorMessage="1" prompt="Select the Sales phase from the dropdown list in each cell in this column. Options are defined in the Lists worksheet. Press ALT+DOWN ARROW to navigate the list, then ENTER to make a selection" sqref="H6" xr:uid="{E518FC2A-E428-40F6-A6DA-5D5A470B3EC0}"/>
    <dataValidation allowBlank="1" showInputMessage="1" showErrorMessage="1" prompt="Enter Forecast amount in this column under this heading" sqref="G6" xr:uid="{946D5C68-48EC-48F7-9BA8-26000B66187F}"/>
    <dataValidation allowBlank="1" showInputMessage="1" showErrorMessage="1" prompt="Select the Sales category from the dropdown list in each cell in this column. Options are defined in the Lists worksheet. Press ALT+DOWN ARROW to navigate the list, then ENTER to make a selection" sqref="E6:F6 E7" xr:uid="{6F6FD288-A123-4165-9877-8AA1E6BA5F51}"/>
    <dataValidation allowBlank="1" showInputMessage="1" showErrorMessage="1" prompt="Select the Sales region from the dropdown list in each cell in this column. Options are defined in the Lists worksheet. Press ALT+DOWN ARROW to navigate the list, then ENTER to make a selection" sqref="D6" xr:uid="{5E70CB1D-8EF0-4349-8977-40F513A5FE2E}"/>
    <dataValidation allowBlank="1" showInputMessage="1" showErrorMessage="1" prompt="Select the Sales agent from the dropdown list in each cell in this column. Options are defined in the Lists worksheet. Press ALT+DOWN ARROW to navigate the list, then ENTER to make a selection" sqref="C6" xr:uid="{406AF946-448A-4268-86F2-EA72F0042A16}"/>
    <dataValidation allowBlank="1" showInputMessage="1" showErrorMessage="1" prompt="Enter Opportunity name in this column under this heading" sqref="B6:B7" xr:uid="{101491C4-595B-42DD-AE93-C49E4AD7709E}"/>
    <dataValidation allowBlank="1" showInputMessage="1" showErrorMessage="1" prompt="Title of sheet is in this cell" sqref="B3" xr:uid="{ACC97519-73AC-4215-9366-F2E29CC3E908}"/>
    <dataValidation allowBlank="1" showInputMessage="1" showErrorMessage="1" prompt="Enter your Company Name in this cell" sqref="B2" xr:uid="{D785EA08-F6C4-4B91-8FDA-9AD96A5CAF48}"/>
    <dataValidation allowBlank="1" showInputMessage="1" showErrorMessage="1" prompt="Enter your Company Name in cell B2._x000a__x000a_Clear the table below and enter your own Forecast Input data. To manage the available options for the dropdowns, go to Lists Tab." sqref="A1" xr:uid="{1677BF90-EC94-42F6-A9F4-00DCFB4A8C6C}"/>
  </dataValidations>
  <hyperlinks>
    <hyperlink ref="F7" r:id="rId1" xr:uid="{292CF617-A4DD-4BBE-A63D-D0C03C22C053}"/>
  </hyperlinks>
  <printOptions horizontalCentered="1"/>
  <pageMargins left="0.25" right="0.25" top="0.75" bottom="0.75" header="0.3" footer="0.3"/>
  <pageSetup scale="62" fitToHeight="0" orientation="landscape" r:id="rId2"/>
  <drawing r:id="rId3"/>
  <tableParts count="1">
    <tablePart r:id="rId4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7</vt:i4>
      </vt:variant>
      <vt:variant>
        <vt:lpstr>Named Ranges</vt:lpstr>
      </vt:variant>
      <vt:variant>
        <vt:i4>7</vt:i4>
      </vt:variant>
    </vt:vector>
  </HeadingPairs>
  <TitlesOfParts>
    <vt:vector size="14" baseType="lpstr">
      <vt:lpstr>Ikeja</vt:lpstr>
      <vt:lpstr>VictoriaIsland</vt:lpstr>
      <vt:lpstr>Surulere</vt:lpstr>
      <vt:lpstr>Ikoyi</vt:lpstr>
      <vt:lpstr>Yaba</vt:lpstr>
      <vt:lpstr>LekkiPhase1</vt:lpstr>
      <vt:lpstr>MagodeKetuOgudu</vt:lpstr>
      <vt:lpstr>Ikeja!CompanyName</vt:lpstr>
      <vt:lpstr>Ikoyi!CompanyName</vt:lpstr>
      <vt:lpstr>LekkiPhase1!CompanyName</vt:lpstr>
      <vt:lpstr>MagodeKetuOgudu!CompanyName</vt:lpstr>
      <vt:lpstr>Surulere!CompanyName</vt:lpstr>
      <vt:lpstr>VictoriaIsland!CompanyName</vt:lpstr>
      <vt:lpstr>Yaba!CompanyName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Temitope Ojo</dc:creator>
  <cp:lastModifiedBy>Temitope Ojo</cp:lastModifiedBy>
  <dcterms:created xsi:type="dcterms:W3CDTF">2026-07-08T17:57:57Z</dcterms:created>
  <dcterms:modified xsi:type="dcterms:W3CDTF">2026-07-25T21:08:31Z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6d37b859-8796-466c-87f9-c4e25f31d5ac_Enabled">
    <vt:lpwstr>true</vt:lpwstr>
  </property>
  <property fmtid="{D5CDD505-2E9C-101B-9397-08002B2CF9AE}" pid="3" name="MSIP_Label_6d37b859-8796-466c-87f9-c4e25f31d5ac_SetDate">
    <vt:lpwstr>2026-07-22T10:11:17Z</vt:lpwstr>
  </property>
  <property fmtid="{D5CDD505-2E9C-101B-9397-08002B2CF9AE}" pid="4" name="MSIP_Label_6d37b859-8796-466c-87f9-c4e25f31d5ac_Method">
    <vt:lpwstr>Privileged</vt:lpwstr>
  </property>
  <property fmtid="{D5CDD505-2E9C-101B-9397-08002B2CF9AE}" pid="5" name="MSIP_Label_6d37b859-8796-466c-87f9-c4e25f31d5ac_Name">
    <vt:lpwstr>General</vt:lpwstr>
  </property>
  <property fmtid="{D5CDD505-2E9C-101B-9397-08002B2CF9AE}" pid="6" name="MSIP_Label_6d37b859-8796-466c-87f9-c4e25f31d5ac_SiteId">
    <vt:lpwstr>578172cb-0b60-4747-84cb-1d5365c92285</vt:lpwstr>
  </property>
  <property fmtid="{D5CDD505-2E9C-101B-9397-08002B2CF9AE}" pid="7" name="MSIP_Label_6d37b859-8796-466c-87f9-c4e25f31d5ac_ActionId">
    <vt:lpwstr>cf195695-a64e-4aeb-96bd-cab2f47b8f9d</vt:lpwstr>
  </property>
  <property fmtid="{D5CDD505-2E9C-101B-9397-08002B2CF9AE}" pid="8" name="MSIP_Label_6d37b859-8796-466c-87f9-c4e25f31d5ac_ContentBits">
    <vt:lpwstr>0</vt:lpwstr>
  </property>
  <property fmtid="{D5CDD505-2E9C-101B-9397-08002B2CF9AE}" pid="9" name="MSIP_Label_6d37b859-8796-466c-87f9-c4e25f31d5ac_Tag">
    <vt:lpwstr>10, 0, 1, 1</vt:lpwstr>
  </property>
</Properties>
</file>